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defaultThemeVersion="166925"/>
  <mc:AlternateContent xmlns:mc="http://schemas.openxmlformats.org/markup-compatibility/2006">
    <mc:Choice Requires="x15">
      <x15ac:absPath xmlns:x15ac="http://schemas.microsoft.com/office/spreadsheetml/2010/11/ac" url="https://ts.accenture.com/sites/MMDBuySide-CIOTeam/Shared Documents/General/Test Team/FY26/FY26.3 - June Release/"/>
    </mc:Choice>
  </mc:AlternateContent>
  <xr:revisionPtr revIDLastSave="0" documentId="8_{7FAB5719-2F32-4ED3-B300-8DEE050FCCEE}" xr6:coauthVersionLast="47" xr6:coauthVersionMax="47" xr10:uidLastSave="{00000000-0000-0000-0000-000000000000}"/>
  <bookViews>
    <workbookView xWindow="-120" yWindow="-120" windowWidth="29040" windowHeight="15720" tabRatio="740" firstSheet="5" activeTab="5" xr2:uid="{00000000-000D-0000-FFFF-FFFF00000000}"/>
  </bookViews>
  <sheets>
    <sheet name="LINKS" sheetId="1" r:id="rId1"/>
    <sheet name="BuySide POC" sheetId="10" r:id="rId2"/>
    <sheet name="TCER" sheetId="2" r:id="rId3"/>
    <sheet name="Report" sheetId="3" r:id="rId4"/>
    <sheet name="BUG" sheetId="11" r:id="rId5"/>
    <sheet name="Regression" sheetId="4" r:id="rId6"/>
    <sheet name="Smoke Test" sheetId="9" r:id="rId7"/>
    <sheet name="UAT Report" sheetId="6" r:id="rId8"/>
    <sheet name="Downtime" sheetId="7" r:id="rId9"/>
    <sheet name="BSR Access" sheetId="5" r:id="rId10"/>
    <sheet name="MMD-ADO Access" sheetId="8" r:id="rId11"/>
    <sheet name="Sheet1" sheetId="12"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1SupplierPII" localSheetId="3">[1]Dropdown!$E$14:$E$23</definedName>
    <definedName name="_1SupplierPII">[1]Dropdown!$E$14:$E$23</definedName>
    <definedName name="_2SupplierPII" localSheetId="3">[1]Dropdown!$F$14:$F$20</definedName>
    <definedName name="_2SupplierPII">[1]Dropdown!$F$14:$F$20</definedName>
    <definedName name="_3SupplierPII" localSheetId="3">[1]Dropdown!$G$14:$G$21</definedName>
    <definedName name="_3SupplierPII">[1]Dropdown!$G$14:$G$21</definedName>
    <definedName name="_4SupplierPII" localSheetId="3">[1]Dropdown!$H$14:$H$17</definedName>
    <definedName name="_4SupplierPII">[1]Dropdown!$H$14:$H$17</definedName>
    <definedName name="_5SupplierPII" localSheetId="3">[1]Dropdown!$J$14:$J$16</definedName>
    <definedName name="_5SupplierPII">[1]Dropdown!$J$14:$J$16</definedName>
    <definedName name="_6SupplierPII" localSheetId="3">[1]Dropdown!$J$17:$J$24</definedName>
    <definedName name="_6SupplierPII">[1]Dropdown!$J$17:$J$24</definedName>
    <definedName name="_xlnm._FilterDatabase" localSheetId="1" hidden="1">'BuySide POC'!#REF!</definedName>
    <definedName name="_xlnm._FilterDatabase" localSheetId="3" hidden="1">Report!#REF!</definedName>
    <definedName name="_xlnm._FilterDatabase" localSheetId="6" hidden="1">'Smoke Test'!$A$2:$I$17</definedName>
    <definedName name="_xlnm._FilterDatabase" localSheetId="2" hidden="1">TCER!$A$1:$P$30</definedName>
    <definedName name="_xlnm._FilterDatabase" localSheetId="7" hidden="1">'UAT Report'!$A$3:$L$12</definedName>
    <definedName name="_R6Estimated" localSheetId="7">[2]Dropdown!$A$1:$A$6</definedName>
    <definedName name="_R6Estimated">[2]Dropdown!$A$1:$A$6</definedName>
    <definedName name="_R6GeoScope" localSheetId="7">[2]Dropdown!$D$1:$D$5</definedName>
    <definedName name="_R6GeoScope">[2]Dropdown!$D$1:$D$5</definedName>
    <definedName name="_R6Purpose" localSheetId="7">[2]Dropdown!$B$1:$B$10</definedName>
    <definedName name="_R6Purpose">[2]Dropdown!$B$1:$B$10</definedName>
    <definedName name="_R6SMA" localSheetId="3">'[3]Reordered SMA with edits'!$F:$AH</definedName>
    <definedName name="_R6SMA">'[3]Reordered SMA with edits'!$F:$AH</definedName>
    <definedName name="_R6SREQ" localSheetId="3">'[4]Reordered Request'!$F:$AH</definedName>
    <definedName name="_R6SREQ">'[4]Reordered Request'!$F:$AH</definedName>
    <definedName name="Business" localSheetId="3">[1]Dropdown!$N$2:$N$11</definedName>
    <definedName name="Business">[1]Dropdown!$N$2:$N$11</definedName>
    <definedName name="BusinessTopics" localSheetId="3">[5]Values!$A$50:$A$72</definedName>
    <definedName name="BusinessTopics">[5]Values!$A$50:$A$72</definedName>
    <definedName name="Category_Group" localSheetId="3">[6]Dropdown!$D$2:$D$13</definedName>
    <definedName name="Category_Group" localSheetId="7">[6]Dropdown!$D$2:$D$13</definedName>
    <definedName name="Category_Group">[6]Dropdown!$D$2:$D$13</definedName>
    <definedName name="Change_Renew" localSheetId="3">[6]Dropdown!$G$2:$G$5</definedName>
    <definedName name="Change_Renew" localSheetId="7">[6]Dropdown!$G$2:$G$5</definedName>
    <definedName name="Change_Renew">[6]Dropdown!$G$2:$G$5</definedName>
    <definedName name="Change_Type" localSheetId="3">[6]Dropdown!$H$2:$H$7</definedName>
    <definedName name="Change_Type" localSheetId="7">[6]Dropdown!$H$2:$H$7</definedName>
    <definedName name="Change_Type">[6]Dropdown!$H$2:$H$7</definedName>
    <definedName name="Client_Deal" localSheetId="3">[6]Dropdown!$B$2:$B$4</definedName>
    <definedName name="Client_Deal" localSheetId="7">[6]Dropdown!$B$2:$B$4</definedName>
    <definedName name="Client_Deal">[6]Dropdown!$B$2:$B$4</definedName>
    <definedName name="CriteriaList" localSheetId="9">#REF!</definedName>
    <definedName name="CriteriaList" localSheetId="8">Downtime!#REF!</definedName>
    <definedName name="CriteriaList" localSheetId="10">#REF!</definedName>
    <definedName name="CriteriaList" localSheetId="3">#REF!</definedName>
    <definedName name="CriteriaList" localSheetId="2">#REF!</definedName>
    <definedName name="CriteriaList" localSheetId="7">#REF!</definedName>
    <definedName name="CriteriaList">#REF!</definedName>
    <definedName name="CriteriaName" localSheetId="9">#REF!</definedName>
    <definedName name="CriteriaName" localSheetId="8">Downtime!#REF!</definedName>
    <definedName name="CriteriaName" localSheetId="10">#REF!</definedName>
    <definedName name="CriteriaName" localSheetId="3">#REF!</definedName>
    <definedName name="CriteriaName" localSheetId="2">#REF!</definedName>
    <definedName name="CriteriaName" localSheetId="7">#REF!</definedName>
    <definedName name="CriteriaName">#REF!</definedName>
    <definedName name="Criterion1" localSheetId="9">#REF!</definedName>
    <definedName name="Criterion1" localSheetId="8">Downtime!#REF!</definedName>
    <definedName name="Criterion1" localSheetId="10">#REF!</definedName>
    <definedName name="Criterion1" localSheetId="3">#REF!</definedName>
    <definedName name="Criterion1" localSheetId="2">#REF!</definedName>
    <definedName name="Criterion1" localSheetId="7">#REF!</definedName>
    <definedName name="Criterion1">#REF!</definedName>
    <definedName name="Criterion10" localSheetId="9">#REF!</definedName>
    <definedName name="Criterion10" localSheetId="8">Downtime!#REF!</definedName>
    <definedName name="Criterion10" localSheetId="10">#REF!</definedName>
    <definedName name="Criterion10" localSheetId="3">#REF!</definedName>
    <definedName name="Criterion10" localSheetId="2">#REF!</definedName>
    <definedName name="Criterion10" localSheetId="7">#REF!</definedName>
    <definedName name="Criterion10">#REF!</definedName>
    <definedName name="Criterion2" localSheetId="9">#REF!</definedName>
    <definedName name="Criterion2" localSheetId="8">Downtime!#REF!</definedName>
    <definedName name="Criterion2" localSheetId="10">#REF!</definedName>
    <definedName name="Criterion2" localSheetId="3">#REF!</definedName>
    <definedName name="Criterion2" localSheetId="2">#REF!</definedName>
    <definedName name="Criterion2" localSheetId="7">#REF!</definedName>
    <definedName name="Criterion2">#REF!</definedName>
    <definedName name="Criterion3" localSheetId="9">#REF!</definedName>
    <definedName name="Criterion3" localSheetId="8">Downtime!#REF!</definedName>
    <definedName name="Criterion3" localSheetId="10">#REF!</definedName>
    <definedName name="Criterion3" localSheetId="3">#REF!</definedName>
    <definedName name="Criterion3" localSheetId="2">#REF!</definedName>
    <definedName name="Criterion3" localSheetId="7">#REF!</definedName>
    <definedName name="Criterion3">#REF!</definedName>
    <definedName name="Criterion4" localSheetId="9">#REF!</definedName>
    <definedName name="Criterion4" localSheetId="8">Downtime!#REF!</definedName>
    <definedName name="Criterion4" localSheetId="10">#REF!</definedName>
    <definedName name="Criterion4" localSheetId="3">#REF!</definedName>
    <definedName name="Criterion4" localSheetId="2">#REF!</definedName>
    <definedName name="Criterion4" localSheetId="7">#REF!</definedName>
    <definedName name="Criterion4">#REF!</definedName>
    <definedName name="Criterion5" localSheetId="9">#REF!</definedName>
    <definedName name="Criterion5" localSheetId="8">Downtime!#REF!</definedName>
    <definedName name="Criterion5" localSheetId="10">#REF!</definedName>
    <definedName name="Criterion5" localSheetId="3">#REF!</definedName>
    <definedName name="Criterion5" localSheetId="2">#REF!</definedName>
    <definedName name="Criterion5" localSheetId="7">#REF!</definedName>
    <definedName name="Criterion5">#REF!</definedName>
    <definedName name="Criterion6" localSheetId="9">#REF!</definedName>
    <definedName name="Criterion6" localSheetId="8">Downtime!#REF!</definedName>
    <definedName name="Criterion6" localSheetId="10">#REF!</definedName>
    <definedName name="Criterion6" localSheetId="3">#REF!</definedName>
    <definedName name="Criterion6" localSheetId="2">#REF!</definedName>
    <definedName name="Criterion6" localSheetId="7">#REF!</definedName>
    <definedName name="Criterion6">#REF!</definedName>
    <definedName name="Criterion7" localSheetId="9">#REF!</definedName>
    <definedName name="Criterion7" localSheetId="8">Downtime!#REF!</definedName>
    <definedName name="Criterion7" localSheetId="10">#REF!</definedName>
    <definedName name="Criterion7" localSheetId="3">#REF!</definedName>
    <definedName name="Criterion7" localSheetId="2">#REF!</definedName>
    <definedName name="Criterion7" localSheetId="7">#REF!</definedName>
    <definedName name="Criterion7">#REF!</definedName>
    <definedName name="Criterion8" localSheetId="9">#REF!</definedName>
    <definedName name="Criterion8" localSheetId="8">Downtime!#REF!</definedName>
    <definedName name="Criterion8" localSheetId="10">#REF!</definedName>
    <definedName name="Criterion8" localSheetId="3">#REF!</definedName>
    <definedName name="Criterion8" localSheetId="2">#REF!</definedName>
    <definedName name="Criterion8" localSheetId="7">#REF!</definedName>
    <definedName name="Criterion8">#REF!</definedName>
    <definedName name="Criterion9" localSheetId="9">#REF!</definedName>
    <definedName name="Criterion9" localSheetId="8">Downtime!#REF!</definedName>
    <definedName name="Criterion9" localSheetId="10">#REF!</definedName>
    <definedName name="Criterion9" localSheetId="3">#REF!</definedName>
    <definedName name="Criterion9" localSheetId="2">#REF!</definedName>
    <definedName name="Criterion9" localSheetId="7">#REF!</definedName>
    <definedName name="Criterion9">#REF!</definedName>
    <definedName name="Deadline_Reason" localSheetId="3">[6]Dropdown!$A$2:$A$9</definedName>
    <definedName name="Deadline_Reason" localSheetId="7">[6]Dropdown!$A$2:$A$9</definedName>
    <definedName name="Deadline_Reason">[6]Dropdown!$A$2:$A$9</definedName>
    <definedName name="Estimated_Annual_Spend" localSheetId="3">[6]Dropdown!$C$2:$C$8</definedName>
    <definedName name="Estimated_Annual_Spend" localSheetId="7">[6]Dropdown!$C$2:$C$8</definedName>
    <definedName name="Estimated_Annual_Spend">[6]Dropdown!$C$2:$C$8</definedName>
    <definedName name="Geo_Scope" localSheetId="3">[6]Dropdown!$E$2:$E$6</definedName>
    <definedName name="Geo_Scope" localSheetId="7">[6]Dropdown!$E$2:$E$6</definedName>
    <definedName name="Geo_Scope">[6]Dropdown!$E$2:$E$6</definedName>
    <definedName name="Old_Estimated" localSheetId="3">[7]Dropdown!$C$14:$C$19</definedName>
    <definedName name="Old_Estimated" localSheetId="7">[8]Dropdown!$C$14:$C$19</definedName>
    <definedName name="Old_Estimated">[8]Dropdown!$C$14:$C$19</definedName>
    <definedName name="Purchase_Category" localSheetId="3">[6]Dropdown!$I$2:$I$62</definedName>
    <definedName name="Purchase_Category" localSheetId="7">[6]Dropdown!$I$2:$I$62</definedName>
    <definedName name="Purchase_Category">[6]Dropdown!$I$2:$I$62</definedName>
    <definedName name="Request_Type" localSheetId="3">[7]Dropdown!$F$2:$F$3</definedName>
    <definedName name="Request_Type" localSheetId="7">[8]Dropdown!$F$2:$F$3</definedName>
    <definedName name="Request_Type">[8]Dropdown!$F$2:$F$3</definedName>
    <definedName name="SCC_Metadata" localSheetId="3">'[9]Sprint 2 SCC - Metadata'!$D:$AD</definedName>
    <definedName name="SCC_Metadata" localSheetId="7">'[10]Sprint 2 SCC - Metadata'!$D:$AD</definedName>
    <definedName name="SCC_Metadata">'[10]Sprint 2 SCC - Metadata'!$D:$AD</definedName>
    <definedName name="SMA_Metadata" localSheetId="3">'[9]Sprint 1 SMA - Metadata'!$D:$AF</definedName>
    <definedName name="SMA_Metadata" localSheetId="7">'[10]Sprint 1 SMA - Metadata'!$D:$AF</definedName>
    <definedName name="SMA_Metadata">'[10]Sprint 1 SMA - Metadata'!$D:$AF</definedName>
    <definedName name="SMA_SubType" localSheetId="3">[1]Dropdown!$K$2:$K$20</definedName>
    <definedName name="SMA_SubType" localSheetId="7">[1]Dropdown!$K$2:$K$20</definedName>
    <definedName name="SMA_SubType">[1]Dropdown!$K$2:$K$20</definedName>
    <definedName name="SREQ_Metadata" localSheetId="3">'[9]Global Request Metadata'!$D$2:$AG$103</definedName>
    <definedName name="SREQ_Metadata" localSheetId="7">'[10]Global Request Metadata'!$D$2:$AG$103</definedName>
    <definedName name="SREQ_Metadata">'[10]Global Request Metadata'!$D$2:$AG$103</definedName>
    <definedName name="SSW_Metadata" localSheetId="3">'[9]Sprint 1 SOW - Metadata'!$D:$AD</definedName>
    <definedName name="SSW_Metadata" localSheetId="7">'[10]Sprint 1 SOW - Metadata'!$D:$AD</definedName>
    <definedName name="SSW_Metadata">'[10]Sprint 1 SOW - Metadata'!$D:$AD</definedName>
    <definedName name="Supplier_Agreement_Purpose" localSheetId="3">[6]Dropdown!$J$2:$J$11</definedName>
    <definedName name="Supplier_Agreement_Purpose" localSheetId="7">[6]Dropdown!$J$2:$J$11</definedName>
    <definedName name="Supplier_Agreement_Purpose">[6]Dropdown!$J$2:$J$11</definedName>
    <definedName name="Supplier_Sensitve_PII" localSheetId="3">[1]Dropdown!$O$2:$O$20</definedName>
    <definedName name="Supplier_Sensitve_PII">[1]Dropdown!$O$2:$O$20</definedName>
    <definedName name="VSTS_ValidationRange_7bc0f3fb5810415ab3784f619970ac32" localSheetId="9" hidden="1">#REF!</definedName>
    <definedName name="VSTS_ValidationRange_7bc0f3fb5810415ab3784f619970ac32" localSheetId="8" hidden="1">Downtime!#REF!</definedName>
    <definedName name="VSTS_ValidationRange_7bc0f3fb5810415ab3784f619970ac32" localSheetId="10" hidden="1">#REF!</definedName>
    <definedName name="VSTS_ValidationRange_7bc0f3fb5810415ab3784f619970ac32" localSheetId="3" hidden="1">#REF!</definedName>
    <definedName name="VSTS_ValidationRange_7bc0f3fb5810415ab3784f619970ac32" localSheetId="2" hidden="1">#REF!</definedName>
    <definedName name="VSTS_ValidationRange_7bc0f3fb5810415ab3784f619970ac32" localSheetId="7" hidden="1">#REF!</definedName>
    <definedName name="VSTS_ValidationRange_7bc0f3fb5810415ab3784f619970ac32" hidden="1">#REF!</definedName>
    <definedName name="VSTS_ValidationRange_8c94df98a32a4c628774c6cd60ab2f36" localSheetId="9" hidden="1">#REF!</definedName>
    <definedName name="VSTS_ValidationRange_8c94df98a32a4c628774c6cd60ab2f36" localSheetId="8" hidden="1">Downtime!#REF!</definedName>
    <definedName name="VSTS_ValidationRange_8c94df98a32a4c628774c6cd60ab2f36" localSheetId="10" hidden="1">#REF!</definedName>
    <definedName name="VSTS_ValidationRange_8c94df98a32a4c628774c6cd60ab2f36" localSheetId="3" hidden="1">#REF!</definedName>
    <definedName name="VSTS_ValidationRange_8c94df98a32a4c628774c6cd60ab2f36" localSheetId="2" hidden="1">#REF!</definedName>
    <definedName name="VSTS_ValidationRange_8c94df98a32a4c628774c6cd60ab2f36" localSheetId="7" hidden="1">#REF!</definedName>
    <definedName name="VSTS_ValidationRange_8c94df98a32a4c628774c6cd60ab2f36" hidden="1">#REF!</definedName>
    <definedName name="VSTS_ValidationRange_9225a9b15b8e4aa395dc5c564e52c745" localSheetId="9" hidden="1">#REF!</definedName>
    <definedName name="VSTS_ValidationRange_9225a9b15b8e4aa395dc5c564e52c745" localSheetId="8" hidden="1">Downtime!#REF!</definedName>
    <definedName name="VSTS_ValidationRange_9225a9b15b8e4aa395dc5c564e52c745" localSheetId="10" hidden="1">#REF!</definedName>
    <definedName name="VSTS_ValidationRange_9225a9b15b8e4aa395dc5c564e52c745" localSheetId="3" hidden="1">#REF!</definedName>
    <definedName name="VSTS_ValidationRange_9225a9b15b8e4aa395dc5c564e52c745" localSheetId="2" hidden="1">#REF!</definedName>
    <definedName name="VSTS_ValidationRange_9225a9b15b8e4aa395dc5c564e52c745" localSheetId="7" hidden="1">#REF!</definedName>
    <definedName name="VSTS_ValidationRange_9225a9b15b8e4aa395dc5c564e52c745" hidden="1">#REF!</definedName>
    <definedName name="VSTS_ValidationRange_b988096140e148569d1397c8123af708" localSheetId="9" hidden="1">#REF!</definedName>
    <definedName name="VSTS_ValidationRange_b988096140e148569d1397c8123af708" localSheetId="8" hidden="1">Downtime!#REF!</definedName>
    <definedName name="VSTS_ValidationRange_b988096140e148569d1397c8123af708" localSheetId="10" hidden="1">#REF!</definedName>
    <definedName name="VSTS_ValidationRange_b988096140e148569d1397c8123af708" localSheetId="3" hidden="1">#REF!</definedName>
    <definedName name="VSTS_ValidationRange_b988096140e148569d1397c8123af708" localSheetId="2" hidden="1">#REF!</definedName>
    <definedName name="VSTS_ValidationRange_b988096140e148569d1397c8123af708" localSheetId="7" hidden="1">#REF!</definedName>
    <definedName name="VSTS_ValidationRange_b988096140e148569d1397c8123af708" hidden="1">#REF!</definedName>
    <definedName name="VSTS_ValidationRange_d4a738d5a59c457ca9495329efe39c8b" localSheetId="9" hidden="1">#REF!</definedName>
    <definedName name="VSTS_ValidationRange_d4a738d5a59c457ca9495329efe39c8b" localSheetId="8" hidden="1">Downtime!#REF!</definedName>
    <definedName name="VSTS_ValidationRange_d4a738d5a59c457ca9495329efe39c8b" localSheetId="10" hidden="1">#REF!</definedName>
    <definedName name="VSTS_ValidationRange_d4a738d5a59c457ca9495329efe39c8b" localSheetId="3" hidden="1">#REF!</definedName>
    <definedName name="VSTS_ValidationRange_d4a738d5a59c457ca9495329efe39c8b" localSheetId="2" hidden="1">#REF!</definedName>
    <definedName name="VSTS_ValidationRange_d4a738d5a59c457ca9495329efe39c8b" localSheetId="7" hidden="1">#REF!</definedName>
    <definedName name="VSTS_ValidationRange_d4a738d5a59c457ca9495329efe39c8b" hidden="1">#REF!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6" i="3" l="1"/>
  <c r="E206" i="3"/>
  <c r="D206" i="3"/>
  <c r="C206" i="3"/>
  <c r="B206" i="3"/>
  <c r="G206" i="3"/>
  <c r="G204" i="3"/>
  <c r="B111" i="3" l="1"/>
  <c r="G198" i="3"/>
  <c r="G199" i="3"/>
  <c r="G200" i="3"/>
  <c r="G202" i="3"/>
  <c r="G203" i="3"/>
  <c r="G197" i="3"/>
  <c r="G168" i="3"/>
  <c r="H206" i="3"/>
  <c r="F111" i="3"/>
  <c r="E111" i="3"/>
  <c r="D111" i="3"/>
  <c r="C111" i="3"/>
  <c r="F10" i="4" l="1"/>
  <c r="E10" i="4"/>
  <c r="D10" i="4"/>
  <c r="C10" i="4"/>
  <c r="B10" i="4"/>
  <c r="B11" i="3"/>
  <c r="G8" i="4"/>
  <c r="G7" i="4"/>
  <c r="G6" i="4"/>
  <c r="G5" i="4"/>
  <c r="G4" i="4"/>
  <c r="G3" i="4"/>
  <c r="G2" i="4"/>
  <c r="S6" i="6"/>
  <c r="R6" i="6"/>
  <c r="Q6" i="6"/>
  <c r="P6" i="6"/>
  <c r="O6" i="6"/>
  <c r="G172" i="3"/>
  <c r="H12" i="6" a="1"/>
  <c r="H12" i="6" s="1"/>
  <c r="H11" i="6" a="1"/>
  <c r="H11" i="6" s="1"/>
  <c r="H10" i="6" a="1"/>
  <c r="H10" i="6" s="1"/>
  <c r="H9" i="6" a="1"/>
  <c r="H9" i="6" s="1"/>
  <c r="H8" i="6" a="1"/>
  <c r="H8" i="6" s="1"/>
  <c r="H7" i="6" a="1"/>
  <c r="H7" i="6" s="1"/>
  <c r="H6" i="6" a="1"/>
  <c r="H6" i="6" s="1"/>
  <c r="H5" i="6" a="1"/>
  <c r="H5" i="6"/>
  <c r="H4" i="6" a="1"/>
  <c r="H4" i="6" s="1"/>
  <c r="G10" i="4" l="1"/>
  <c r="G174" i="3"/>
  <c r="G171" i="3"/>
  <c r="G170" i="3"/>
  <c r="G169" i="3"/>
  <c r="Q4" i="6"/>
  <c r="R4" i="6"/>
  <c r="O4" i="6"/>
  <c r="S8" i="6"/>
  <c r="S7" i="6"/>
  <c r="S5" i="6"/>
  <c r="S4" i="6"/>
  <c r="R8" i="6"/>
  <c r="R7" i="6"/>
  <c r="R5" i="6"/>
  <c r="Q8" i="6"/>
  <c r="Q7" i="6"/>
  <c r="Q5" i="6"/>
  <c r="P8" i="6"/>
  <c r="P7" i="6"/>
  <c r="P5" i="6"/>
  <c r="P4" i="6"/>
  <c r="O8" i="6"/>
  <c r="O7" i="6"/>
  <c r="O5" i="6"/>
  <c r="T5" i="6" l="1"/>
  <c r="T7" i="6"/>
  <c r="T8" i="6"/>
  <c r="T4" i="6"/>
  <c r="G109" i="3" l="1"/>
  <c r="G101" i="3"/>
  <c r="G67" i="3" l="1"/>
  <c r="G68" i="3"/>
  <c r="G100" i="3"/>
  <c r="G98" i="3"/>
  <c r="G96" i="3"/>
  <c r="G111" i="3" s="1"/>
  <c r="G66" i="3" l="1"/>
  <c r="E72" i="3" l="1"/>
  <c r="G9" i="3" l="1"/>
  <c r="H111" i="3"/>
  <c r="H176" i="3" l="1"/>
  <c r="G176" i="3"/>
  <c r="F176" i="3"/>
  <c r="E176" i="3"/>
  <c r="D176" i="3"/>
  <c r="C176" i="3"/>
  <c r="B176" i="3"/>
  <c r="B72" i="3"/>
  <c r="F72" i="3"/>
  <c r="D72" i="3"/>
  <c r="C72" i="3"/>
  <c r="G69" i="3"/>
  <c r="G72" i="3" s="1"/>
  <c r="G70" i="3"/>
  <c r="H72" i="3"/>
  <c r="F43" i="3"/>
  <c r="D43" i="3"/>
  <c r="E43" i="3"/>
  <c r="C43" i="3"/>
  <c r="B43" i="3"/>
  <c r="G39" i="3"/>
  <c r="G43" i="3" s="1"/>
  <c r="G147" i="3" l="1"/>
  <c r="F147" i="3"/>
  <c r="E147" i="3"/>
  <c r="D147" i="3"/>
  <c r="C147" i="3"/>
  <c r="B147" i="3"/>
  <c r="H138" i="3"/>
  <c r="H139" i="3"/>
  <c r="H140" i="3"/>
  <c r="H141" i="3"/>
  <c r="G4" i="3"/>
  <c r="P15" i="7"/>
  <c r="Q15" i="7"/>
  <c r="P16" i="7"/>
  <c r="Q16" i="7"/>
  <c r="P17" i="7"/>
  <c r="Q17" i="7"/>
  <c r="P18" i="7"/>
  <c r="Q18" i="7"/>
  <c r="P19" i="7"/>
  <c r="Q19" i="7"/>
  <c r="P20" i="7"/>
  <c r="Q20" i="7"/>
  <c r="P21" i="7"/>
  <c r="Q21" i="7"/>
  <c r="P22" i="7"/>
  <c r="Q22" i="7"/>
  <c r="E11" i="3"/>
  <c r="G6" i="3" l="1"/>
  <c r="G11" i="3" s="1"/>
  <c r="G8" i="3"/>
  <c r="G7" i="3"/>
  <c r="H11" i="3"/>
  <c r="D11" i="3"/>
  <c r="C11" i="3"/>
  <c r="Q13" i="7"/>
  <c r="P13" i="7"/>
  <c r="Q12" i="7"/>
  <c r="P12" i="7"/>
  <c r="Q11" i="7"/>
  <c r="P11" i="7"/>
  <c r="Q10" i="7"/>
  <c r="P10" i="7"/>
  <c r="Q9" i="7"/>
  <c r="P9" i="7"/>
  <c r="Q8" i="7"/>
  <c r="P8" i="7"/>
  <c r="Q7" i="7"/>
  <c r="P7" i="7"/>
  <c r="Q6" i="7"/>
  <c r="P6" i="7"/>
  <c r="Q5" i="7"/>
  <c r="P5" i="7"/>
  <c r="Q4" i="7"/>
  <c r="P4" i="7"/>
  <c r="I223" i="6"/>
  <c r="H223" i="6"/>
  <c r="F223" i="6"/>
  <c r="E223" i="6"/>
  <c r="D223" i="6"/>
  <c r="I222" i="6"/>
  <c r="H222" i="6"/>
  <c r="F222" i="6"/>
  <c r="E222" i="6"/>
  <c r="D222" i="6"/>
  <c r="I221" i="6"/>
  <c r="H221" i="6"/>
  <c r="F221" i="6"/>
  <c r="E221" i="6"/>
  <c r="D221" i="6"/>
  <c r="I220" i="6"/>
  <c r="H220" i="6"/>
  <c r="F220" i="6"/>
  <c r="E220" i="6"/>
  <c r="D220" i="6"/>
  <c r="I219" i="6"/>
  <c r="H219" i="6"/>
  <c r="F219" i="6"/>
  <c r="E219" i="6"/>
  <c r="D219" i="6"/>
  <c r="S139" i="6"/>
  <c r="R139" i="6"/>
  <c r="Q139" i="6"/>
  <c r="P139" i="6"/>
  <c r="O139" i="6"/>
  <c r="S138" i="6"/>
  <c r="R138" i="6"/>
  <c r="Q138" i="6"/>
  <c r="P138" i="6"/>
  <c r="O138" i="6"/>
  <c r="S137" i="6"/>
  <c r="R137" i="6"/>
  <c r="Q137" i="6"/>
  <c r="P137" i="6"/>
  <c r="O137" i="6"/>
  <c r="S136" i="6"/>
  <c r="R136" i="6"/>
  <c r="Q136" i="6"/>
  <c r="P136" i="6"/>
  <c r="O136" i="6"/>
  <c r="N136" i="6"/>
  <c r="S83" i="6"/>
  <c r="R83" i="6"/>
  <c r="Q83" i="6"/>
  <c r="P83" i="6"/>
  <c r="O83" i="6"/>
  <c r="N83" i="6"/>
  <c r="S82" i="6"/>
  <c r="R82" i="6"/>
  <c r="Q82" i="6"/>
  <c r="P82" i="6"/>
  <c r="O82" i="6"/>
  <c r="N82" i="6"/>
  <c r="S81" i="6"/>
  <c r="R81" i="6"/>
  <c r="Q81" i="6"/>
  <c r="P81" i="6"/>
  <c r="O81" i="6"/>
  <c r="N81" i="6"/>
  <c r="S80" i="6"/>
  <c r="R80" i="6"/>
  <c r="Q80" i="6"/>
  <c r="P80" i="6"/>
  <c r="O80" i="6"/>
  <c r="N80" i="6"/>
  <c r="S79" i="6"/>
  <c r="R79" i="6"/>
  <c r="Q79" i="6"/>
  <c r="P79" i="6"/>
  <c r="O79" i="6"/>
  <c r="N79" i="6"/>
  <c r="S78" i="6"/>
  <c r="R78" i="6"/>
  <c r="Q78" i="6"/>
  <c r="P78" i="6"/>
  <c r="O78" i="6"/>
  <c r="N78" i="6"/>
  <c r="H145" i="3"/>
  <c r="H144" i="3"/>
  <c r="H143" i="3"/>
  <c r="H142" i="3"/>
  <c r="T137" i="6" l="1"/>
  <c r="T139" i="6"/>
  <c r="T83" i="6"/>
  <c r="J222" i="6"/>
  <c r="H228" i="6"/>
  <c r="S86" i="6"/>
  <c r="T82" i="6"/>
  <c r="J219" i="6"/>
  <c r="P144" i="6"/>
  <c r="D228" i="6"/>
  <c r="Q144" i="6"/>
  <c r="E228" i="6"/>
  <c r="T78" i="6"/>
  <c r="R144" i="6"/>
  <c r="T81" i="6"/>
  <c r="T80" i="6"/>
  <c r="T6" i="6"/>
  <c r="T79" i="6"/>
  <c r="J221" i="6"/>
  <c r="P86" i="6"/>
  <c r="S144" i="6"/>
  <c r="J223" i="6"/>
  <c r="O144" i="6"/>
  <c r="Q86" i="6"/>
  <c r="J220" i="6"/>
  <c r="R86" i="6"/>
  <c r="T138" i="6"/>
  <c r="F228" i="6"/>
  <c r="H147" i="3"/>
  <c r="O86" i="6"/>
  <c r="T136" i="6"/>
  <c r="I228" i="6"/>
  <c r="F11" i="3"/>
  <c r="J228" i="6" l="1"/>
  <c r="T86" i="6"/>
  <c r="T144" i="6"/>
  <c r="H4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tc={5EE8B713-C1B5-4569-BCDE-0D3A93097DB0}</author>
    <author>Jagadeeswaran, Guna Raja Jayashree</author>
  </authors>
  <commentList>
    <comment ref="J10" authorId="0" shapeId="0" xr:uid="{5EE8B713-C1B5-4569-BCDE-0D3A93097DB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@Tan, Elealeh bini create you ng inflight na direct creation lang ng 1 request and 1 bsr to request na may added na contract admin. </t>
      </text>
    </comment>
    <comment ref="F11" authorId="1" shapeId="0" xr:uid="{F0FC5B62-98F9-4D4D-A641-E3C2B99DC8B7}">
      <text>
        <r>
          <rPr>
            <sz val="11"/>
            <color theme="1"/>
            <rFont val="Calibri"/>
            <family val="2"/>
            <scheme val="minor"/>
          </rPr>
          <t>Jagadeeswaran, Guna Raja Jayashree:
On Hold - Need a discussion with Legal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Briñas, Arizza</author>
  </authors>
  <commentList>
    <comment ref="E2" authorId="0" shapeId="0" xr:uid="{EC771C39-1C85-4645-ACBD-924F04A479B2}">
      <text>
        <r>
          <rPr>
            <b/>
            <sz val="9"/>
            <color indexed="81"/>
            <rFont val="Tahoma"/>
            <family val="2"/>
          </rPr>
          <t>Briñas, Arizza:</t>
        </r>
        <r>
          <rPr>
            <sz val="9"/>
            <color indexed="81"/>
            <rFont val="Tahoma"/>
            <family val="2"/>
          </rPr>
          <t xml:space="preserve">
Can create Buy Side Requests and Agreements
Can view rules and masterdata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Dela Cruz, Princess Diane</author>
  </authors>
  <commentList>
    <comment ref="F91" authorId="0" shapeId="0" xr:uid="{D899EA7C-B6E9-4FA0-BBA4-D630238F0BB8}">
      <text>
        <r>
          <rPr>
            <sz val="11"/>
            <color theme="1"/>
            <rFont val="Calibri"/>
            <family val="2"/>
            <scheme val="minor"/>
          </rPr>
          <t>Dela Cruz, Princess Diane:
SMA_53789 Created in Prod</t>
        </r>
      </text>
    </comment>
    <comment ref="E92" authorId="0" shapeId="0" xr:uid="{E30C1FF0-BE0A-4514-BE4D-187FDFCC19E5}">
      <text>
        <r>
          <rPr>
            <sz val="11"/>
            <color theme="1"/>
            <rFont val="Calibri"/>
            <family val="2"/>
            <scheme val="minor"/>
          </rPr>
          <t>Dela Cruz, Princess Diane:
SREQ_15488 Created in Prod</t>
        </r>
      </text>
    </comment>
    <comment ref="F92" authorId="0" shapeId="0" xr:uid="{A2D3F6AD-BF3C-4F33-A14C-39B58A602604}">
      <text>
        <r>
          <rPr>
            <sz val="11"/>
            <color theme="1"/>
            <rFont val="Calibri"/>
            <family val="2"/>
            <scheme val="minor"/>
          </rPr>
          <t>Dela Cruz, Princess Diane:
SSW_24502 Created in Prod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<sst xmlns="http://schemas.openxmlformats.org/spreadsheetml/2006/main" count="1998" uniqueCount="884">
  <si>
    <t>INDEX</t>
  </si>
  <si>
    <t>MMD ICERTIS</t>
  </si>
  <si>
    <t>MMD QA</t>
  </si>
  <si>
    <t>https://accentureqa.icertis.com/</t>
  </si>
  <si>
    <t>MMD PRODFIX</t>
  </si>
  <si>
    <t>https://accentureprdfix.icertis.com/Dashboard</t>
  </si>
  <si>
    <t>MMD PRODUCTION</t>
  </si>
  <si>
    <t>https://accenture.icertis.com/#</t>
  </si>
  <si>
    <t>BSR E2E</t>
  </si>
  <si>
    <t>E2E | SBOX LIVE</t>
  </si>
  <si>
    <t xml:space="preserve">                                                                                                </t>
  </si>
  <si>
    <t>E2E | SBOX 1</t>
  </si>
  <si>
    <t>E2E | SBOX 4</t>
  </si>
  <si>
    <t>E2E | SBOX 7</t>
  </si>
  <si>
    <t>E2E | SBOX 11</t>
  </si>
  <si>
    <t>BSR SNOW</t>
  </si>
  <si>
    <t>SNOW | SBOX LIVE</t>
  </si>
  <si>
    <t>SNOW | SBOX 1</t>
  </si>
  <si>
    <t>SNOW | SBOX 4</t>
  </si>
  <si>
    <t>SNOW | SBOX 7</t>
  </si>
  <si>
    <t>SNOW | SBOX 11</t>
  </si>
  <si>
    <t>MMD FILES</t>
  </si>
  <si>
    <t>TEST PLAN</t>
  </si>
  <si>
    <t>TEST PLAN TRACKER</t>
  </si>
  <si>
    <t>FY25.3 Test Plan Tracker</t>
  </si>
  <si>
    <t>TIMELINE</t>
  </si>
  <si>
    <t>MMD June Release Timeline</t>
  </si>
  <si>
    <t>BUG SUMMARY</t>
  </si>
  <si>
    <t>FY25 iCertis_Buy Side_Bug Summary</t>
  </si>
  <si>
    <t>CAPACITY PLAN</t>
  </si>
  <si>
    <t>FY25.3 Capacity Plan</t>
  </si>
  <si>
    <t>FY25 Stand-Up Meeting MMD Test Team</t>
  </si>
  <si>
    <t>FY25 MMD Buy Side Tracker</t>
  </si>
  <si>
    <t>AZURE DEVOPS</t>
  </si>
  <si>
    <t>ADO</t>
  </si>
  <si>
    <t>WORKBOOK</t>
  </si>
  <si>
    <t>AUTOMATION</t>
  </si>
  <si>
    <t>Automation</t>
  </si>
  <si>
    <t>H+M Collateral List</t>
  </si>
  <si>
    <t>AUTOMATION PAJ</t>
  </si>
  <si>
    <t>FY25 Automation APAJ.xlsx</t>
  </si>
  <si>
    <t>INTELLIGENT AUTOMATION</t>
  </si>
  <si>
    <t>https://intelligentautomationcoe.accenture.com/view-plan</t>
  </si>
  <si>
    <t xml:space="preserve">AUTOMATION TRACKER </t>
  </si>
  <si>
    <t>FY25 MMD Automation Tracker.xlsx</t>
  </si>
  <si>
    <t>NAB GROUPS</t>
  </si>
  <si>
    <t>AD Group</t>
  </si>
  <si>
    <t>Purpose</t>
  </si>
  <si>
    <t>MMD.BuySide.Program</t>
  </si>
  <si>
    <t>Distribution group for the entire MMD Buyside Program Team (Delivery Lead, FA, BA, TA, Test and Automation Team)</t>
  </si>
  <si>
    <t>MMD.BuySide.Program.FA.BA</t>
  </si>
  <si>
    <t>Distribution group for MMD Buyside Program FAs and BAs (Functional Architects and Business Architects)</t>
  </si>
  <si>
    <t>MMD.BuySide.Program.TestAndAutomation</t>
  </si>
  <si>
    <t>Distribution group for MMD Buyside Program Test and Automation Team</t>
  </si>
  <si>
    <t>MMD.BuySide.Program.Stab.Support</t>
  </si>
  <si>
    <t>Distribution group for MMD Buyside Stabilization Support Team</t>
  </si>
  <si>
    <t>@CIO.ProcPlus.ServiceNowL2Ops.</t>
  </si>
  <si>
    <t>BSR Support</t>
  </si>
  <si>
    <t>MMPR</t>
  </si>
  <si>
    <t>CIO.MMD.Operations</t>
  </si>
  <si>
    <t>Distribution group for MMD Buyside Operations Team</t>
  </si>
  <si>
    <t>Activity</t>
  </si>
  <si>
    <t>Task</t>
  </si>
  <si>
    <t>POC</t>
  </si>
  <si>
    <t>Back-Up</t>
  </si>
  <si>
    <t>Comment</t>
  </si>
  <si>
    <t>Timeline Downtime Lead</t>
  </si>
  <si>
    <t>- Get the list of downtime schedule for this release (anusha)
- Inform the testers/FA and MMD Team when downtime starts and ends
- List down the duration of each downtime in the Downtime Tab
-Need to loop BSR Team for awareness purpose (if not Cced in email)</t>
  </si>
  <si>
    <t>Jhea</t>
  </si>
  <si>
    <t>Astha</t>
  </si>
  <si>
    <t>MMD Downtime Log
CIO.ProcPlus.ServiceNowL2Ops &lt;CIO.ProcPlus.ServiceNowL2Ops@accenture.com&gt;</t>
  </si>
  <si>
    <t>Sprint Lead</t>
  </si>
  <si>
    <t>- Organize and lead the Sprint TCER Review for Test Lead, FA Lead and Business
- Request Sign-off from FA Lead and Business (Ligia, Bhumika/Benj)
- Assign testers responsible for execution of every TCER 
- Upload the TCERs in ADO Userstory and Update the state status.
- Review Overall TCER</t>
  </si>
  <si>
    <t>SP 15 - Jonathan
SP 16 - Guna
SP 17 - Astha
SP 18 - Izzy</t>
  </si>
  <si>
    <t>SP 15 - Jho
SP 16 - Jonathan
SP 17 - Guna
SP 18 - Jho</t>
  </si>
  <si>
    <t>UAT Support / UAT Kick off Lead (QA)</t>
  </si>
  <si>
    <t>- Request the list of UAT participants from the Business team (Ligia, Bhumika/Benj)
- Request KT from Change Management (applicable for first-time participants max of (4); coordinate and confirm with FAs if needed)
- Create the UAT framework
- Schedule a UAT framework review meeting with the Test Lead, FA, and Business to discuss the high-level approach
- Obtain UAT framework sign-off from the Test Lead, FA, and Business
- Request QA environment access for UAT participants (Rudra/Fina)
- Organize and lead UAT kick-off sessions (Session 1 and Session 2)
- Align with your backup to ensure coverage during SL/VL
- Schedule UAT checkpoint meetings
- Guide participants during execution
- Send daily status reports
- After UAT execution, request business sign-off (Ligia, Bhumika and Benj)
- Ensure all testing is completed before release</t>
  </si>
  <si>
    <t>KTLO/TPRM - Arianne 
REINVENTION AI - Ele</t>
  </si>
  <si>
    <t>KTLO/TPRM - Jonathan 
REINVENTION AI - Jho</t>
  </si>
  <si>
    <t>Data Conversion Lead</t>
  </si>
  <si>
    <r>
      <t xml:space="preserve">- Create inflight data in Prodfix (Mock Run 1)
- Request for extracted data in Prodfix and populate/highlight needed values  (Ask Rudra/Fina Dev for the extract file)
- Participate on the discussion from FA to Business for the scope of Data conversion; sometime we include it during sprint review.
</t>
    </r>
    <r>
      <rPr>
        <strike/>
        <sz val="9"/>
        <color rgb="FF000000"/>
        <rFont val="Segoe UI"/>
        <family val="2"/>
      </rPr>
      <t>- Organize and lead the discussion of included attributes with the Business</t>
    </r>
    <r>
      <rPr>
        <sz val="9"/>
        <color rgb="FF000000"/>
        <rFont val="Segoe UI"/>
        <family val="2"/>
      </rPr>
      <t xml:space="preserve">
- Validate if data is reflecting correctly afte ES Sync (Mock Run 2)
- Check created inflight req/agreements if changes reflected
- Repeat the steps above for Production
- After test, request business signoff 
- During cut over send validation completion</t>
    </r>
  </si>
  <si>
    <t>DC - Jhea</t>
  </si>
  <si>
    <t>DC - Jonathan</t>
  </si>
  <si>
    <t>TPRM/Coupa Lead</t>
  </si>
  <si>
    <t>- Organize and Create Test Scripts for TPRM User Stories
- Requesting of Test Data of Coupa ID to Coupa Team (User Stories)
- Requesting of Test Data of Coupa ID to Coupa Team (Smoke Testing)
- Validating of E2E Integration coupa to mmd
- Data Conversion Regarding TPRM User Stories (Output and ES Sync File
- Creating of Inflight Data in PRDFIX (Mock 2)
- MMD TPRM UAT (Refer to this cell (UAT Support / UAT Kick off Lead (QA))
- Support TPRM UAT</t>
  </si>
  <si>
    <t>Guna</t>
  </si>
  <si>
    <t>Jonathan</t>
  </si>
  <si>
    <t>Mock - Cutover Test (PRODFIX) Lead</t>
  </si>
  <si>
    <t>- Create Mock Test TCER
- Organize and lead the Mock/Smoke Test TCER Review for Test Lead, FA Lead and Business
- Request Mock/Smoke TCER signoff from FA/Business
- Request BSR and Synops repoint environment to Prodfix
- Request Prodfix access for involved testers and Email Override
- Assign testers responsible for execution of every scenario
- Send daily status report during mock test execution
- After Mock test, send overall completion email
- If there are bugs/issues, once fixed and retested, and if there is additional or changes from the approved scenario, need to send another completion email to inform FA/Biz/Dev</t>
  </si>
  <si>
    <t>Jho</t>
  </si>
  <si>
    <t>Smoke/Cutover Test Lead</t>
  </si>
  <si>
    <t xml:space="preserve">- Create Smoke Test TCER (or reuse the Mock Test TCER)
- Organize and lead the Smoke Test TCER Review for Test Lead, FA Lead and Business (already covered in Mock Test Prep)
- Request Smoke Test signoff from Business if there are additional or major changes with the test coverage from Mock to Smoke Test
- Request support from other involved teams (BSR, Synops, Coupa, MMPR, etc.) including contact numbers (c/o Cutover Lead)
- Confirm the MMD Participant and request to test Production Access as well
- Plot the date and timing of Icertis Write Test (1st BSR/Synops activity) and Smoke Test Execution (2nd BSR/Synops activity)
- Inform the Cutover lead on the BSR, Synops, IH, TPRM and MMD Team's list of names, contact numbers and access needed
- Request Production access for involved testers and Email Override (Inform Diego and Anusha)
- Organize and lead the Support Call for Smoke Test (create Teams GC including all the cutover support Dev/FA/Test/TPRM/IH/Synops/BSR) 
- Create group chats in social media (messenger) and MS Teams
- Assign testers responsible for execution of every scenario
- -Attend the Cutover checkpoints every 4 hours and asks if activities are on-track (Need back up)
-Coordinate with MMD Test and BSR Team if activities are on-track or not
-Provide updates to all group convo and to the Cutover Lead (Diego)
</t>
  </si>
  <si>
    <t>Tin</t>
  </si>
  <si>
    <t>Automation Lead</t>
  </si>
  <si>
    <t>-Discuss the assigned AT tasks (updates, concerns)
-Update the 'Automation Detailed Plan' file
-Prioritize the regression and PT scripts to be Automated
-TBD: Send weekly status report for AT
-Create framework for the needed AT scripts</t>
  </si>
  <si>
    <t>Cutover Back-up Test Lead</t>
  </si>
  <si>
    <t>-Attend the Cutover checkpoints every 4 hours and asks if activities are on-track
-Coordinate with MMD Test and BSR Team if activities are on-track or not
-Provide updates to all group convo and to the Cutover Lead (Diego)</t>
  </si>
  <si>
    <t>MMD Test Mgnt. Lead</t>
  </si>
  <si>
    <t>-Overall management of the MMD Buyside Testing Team
-Reviews everything within the team
-Submits the needed Admin tasks for the team</t>
  </si>
  <si>
    <t>TCER Assignee</t>
  </si>
  <si>
    <t>Assigned Testers</t>
  </si>
  <si>
    <t>Sprint</t>
  </si>
  <si>
    <t>User Story ID</t>
  </si>
  <si>
    <t>Category</t>
  </si>
  <si>
    <t>Requirement Name (High Level)</t>
  </si>
  <si>
    <t>Status</t>
  </si>
  <si>
    <t>TCER</t>
  </si>
  <si>
    <t>Positive Scenario (based on requirement)</t>
  </si>
  <si>
    <t>In-flight Scenario</t>
  </si>
  <si>
    <t>Negative Scenario</t>
  </si>
  <si>
    <t>Regression</t>
  </si>
  <si>
    <t>FA Comments</t>
  </si>
  <si>
    <t>Business comments</t>
  </si>
  <si>
    <t xml:space="preserve">Jonathan </t>
  </si>
  <si>
    <t>Arianne</t>
  </si>
  <si>
    <t>KTLO</t>
  </si>
  <si>
    <t>Hide "Edit in Office for the Web" when status is "Ready For Signature"</t>
  </si>
  <si>
    <t>Completed Execution Review</t>
  </si>
  <si>
    <t>TC-MMD_BuySide_R26.3_S15_611512_[KTLO_BuySide]_Edit in Office for the Web when status is Ready For Signature</t>
  </si>
  <si>
    <r>
      <rPr>
        <b/>
        <sz val="10"/>
        <color rgb="FF000000"/>
        <rFont val="Segoe UI"/>
        <family val="2"/>
      </rPr>
      <t xml:space="preserve">Type: SMA, SCC, SSW
• Validation of visibility of "Edit in Office for the web" on three dots icon in different business statuses (In Progress, Review In Progress, Awaiting Approval, Ready for Signature)
• Validation that “Edit in Office for the Web” is hidden when the agreement reaches Ready for Signature status across all action menus
• Validation that “Edit in Office for the Web” becomes available again when the agreement transitions back to an editable status
• Validation of document edit behavior when downloading and re‑uploading a modified template in Ready for Signature status
• Validation of document version increment upon uploading a modified template in Ready for Signature status
• Validation that document status and version remain unchanged when a downloaded template is uploaded without modifications
</t>
    </r>
    <r>
      <rPr>
        <sz val="10"/>
        <color rgb="FF000000"/>
        <rFont val="Segoe UI"/>
        <family val="2"/>
      </rPr>
      <t>- Direct Creation of SMA, SCC, SSW until executed status</t>
    </r>
  </si>
  <si>
    <t>[Effort] [Feedback] Optional Notes for Signing Reason in the Console (Adobe)</t>
  </si>
  <si>
    <t>Not Applicable</t>
  </si>
  <si>
    <t>No Action for Test Team</t>
  </si>
  <si>
    <t>Elealeh, Astha, Izzy</t>
  </si>
  <si>
    <t>[CHG] [FEEDBACK] Additional Dropdown option for Supplier Preferred Name</t>
  </si>
  <si>
    <t>TC-MMD BuySide R26.3 S15 858074 [KTLO] [CHG] [FEEDBACK] Additional Dropdown option for Supplier Preferred Name.xlsx</t>
  </si>
  <si>
    <r>
      <rPr>
        <b/>
        <sz val="9"/>
        <color rgb="FF000000"/>
        <rFont val="Segoe UI"/>
        <family val="2"/>
      </rPr>
      <t xml:space="preserve">Type: SMA, SSW, SCC
• Validation of the additional dropdown options for Supplier Preferred Name should be selectable.
</t>
    </r>
    <r>
      <rPr>
        <sz val="9"/>
        <color rgb="FF000000"/>
        <rFont val="Segoe UI"/>
        <family val="2"/>
      </rPr>
      <t xml:space="preserve">Additional dropdown options:
-Agency
-Authorized Distributor
-Buyer
-Contracting Party
-Contractor
-Customer
-Distributor
-Independent Contractor
-Licensee
-Licensor
-Managed Service Provider (MSP)
-Manufacturer
-Merchant
-Producer
-Publisher
-Retailer
-Seller
-Service PRovider
-Staffing  Agency
-Subcontractor
-Systems Integrator
-Temp Agency
-Wholesaler
</t>
    </r>
    <r>
      <rPr>
        <b/>
        <sz val="9"/>
        <color rgb="FF000000"/>
        <rFont val="Segoe UI"/>
        <family val="2"/>
      </rPr>
      <t xml:space="preserve">• Validation of the accurate expected value when clicking the lookup search
• Validation of the accuracy and alphabetical order of expected values when downloading the export file from the lookup search:
</t>
    </r>
    <r>
      <rPr>
        <sz val="9"/>
        <color rgb="FF000000"/>
        <rFont val="Segoe UI"/>
        <family val="2"/>
      </rPr>
      <t xml:space="preserve">-Advisor
-Agency
-Agent
-Artist
-Authorized Distributor
-BDA
-Beneficiary
-Buyer
-Consultant
-Contracting Party
-Contractor
-Customer
-Distributor
-Expert
-Grantee
-Independent Contractor
-Lessor
-License
-Licensee
-Licensor
-Luminary
-Managed Service Provider (MSP)
-Manufacturer
-Merchant
-Partner
-Producer
-Production House
-Provider
-Publisher
-Purchaser
-Retailer
-Seller
-Service PRovider
-Speaker
-Sponsor
-Staffing  Agency
-Subcontractor
-Supplier
-Systems Integrator
-Temp Agency
-Vendor
-Wholesaler
</t>
    </r>
    <r>
      <rPr>
        <b/>
        <sz val="9"/>
        <color rgb="FF000000"/>
        <rFont val="Segoe UI"/>
        <family val="2"/>
      </rPr>
      <t>• Validation of the selected value  showing in the summary details page.
• Validation of the Supplier Preferred Name is correctly inherited and displayed in the Template and Clause.</t>
    </r>
  </si>
  <si>
    <t>Type: SMA, SSW, SCC
• Validation of updating the Supplier Preferred Name from default "Provider" to Advisor during the agreement's ‘In Progress’ state.
• Validation of updating the Supplier Preferred Name from Agent to Expert during the agreement's 'In Progress' state.</t>
  </si>
  <si>
    <r>
      <rPr>
        <b/>
        <sz val="9"/>
        <color rgb="FF000000"/>
        <rFont val="Segoe UI"/>
        <family val="2"/>
      </rPr>
      <t xml:space="preserve">Type: SMA, SSW, SCC
• Validation of old values remaining selectable and correctly inherited on the Summary Details page.
</t>
    </r>
    <r>
      <rPr>
        <sz val="9"/>
        <color rgb="FF000000"/>
        <rFont val="Segoe UI"/>
        <family val="2"/>
      </rPr>
      <t xml:space="preserve">-Agent
-Advisor
-Artist
-BDA
-Beneficiary
-Consultant
-Expert
-Grantee
-Lessor
-License
-Luminary
-Partner
-Production House
-Provider
-Purchaser
-Speaker
-Sponsor
-Supplier
-Vendor
</t>
    </r>
    <r>
      <rPr>
        <b/>
        <sz val="9"/>
        <color rgb="FF000000"/>
        <rFont val="Segoe UI"/>
        <family val="2"/>
      </rPr>
      <t xml:space="preserve">• Validation of the Supplier Preferred Name is correctly inherited and displayed in the Template and Clause.
</t>
    </r>
  </si>
  <si>
    <t xml:space="preserve">[Jho] - we need inflight scenario </t>
  </si>
  <si>
    <t>BUG</t>
  </si>
  <si>
    <t>[MMD BuySide][R26.2 QA, PRDFIX] - Excess signatory is showing in the signatory field</t>
  </si>
  <si>
    <t>TC-MMD_BuySide_R26.3_S15_1041077_[KTLO] [MMD BuySide][R26.2 QA, PRDFIX] - Excess signatory is showing in the signatory field</t>
  </si>
  <si>
    <r>
      <rPr>
        <b/>
        <sz val="10"/>
        <color rgb="FF000000"/>
        <rFont val="Segoe UI"/>
        <family val="2"/>
      </rPr>
      <t xml:space="preserve">Type: SMA, SCC, SSW
• Validation of: correct signatory configuration behavior, ensuring the selected number of internal and external signatories remains accurate and editable when navigating forward and backward in the workflow. (In creation, In Progress, Ready for Signature).
</t>
    </r>
    <r>
      <rPr>
        <sz val="10"/>
        <color rgb="FF000000"/>
        <rFont val="Segoe UI"/>
        <family val="2"/>
      </rPr>
      <t>- Direct Creation of SMA, SCC, SSW until executed status</t>
    </r>
  </si>
  <si>
    <r>
      <rPr>
        <b/>
        <sz val="10"/>
        <color rgb="FF000000"/>
        <rFont val="Segoe UI"/>
        <family val="2"/>
      </rPr>
      <t xml:space="preserve">Type: SMA, SCC, SSW
</t>
    </r>
    <r>
      <rPr>
        <sz val="10"/>
        <color rgb="FF000000"/>
        <rFont val="Segoe UI"/>
        <family val="2"/>
      </rPr>
      <t xml:space="preserve">
</t>
    </r>
    <r>
      <rPr>
        <b/>
        <sz val="10"/>
        <color rgb="FF000000"/>
        <rFont val="Segoe UI"/>
        <family val="2"/>
      </rPr>
      <t xml:space="preserve">• Validation of: the correct triggering and non‑triggering of conditions for Signatory 3–15 and internal and external witness signatories. (In creation, In Progress, Ready for Signature).
</t>
    </r>
    <r>
      <rPr>
        <sz val="10"/>
        <color rgb="FF000000"/>
        <rFont val="Segoe UI"/>
        <family val="2"/>
      </rPr>
      <t>- Direct Creation of SMA, SCC, SSW until executed status</t>
    </r>
  </si>
  <si>
    <t>[Buy Side R26.2 S14] - Supplier Permitted Termination Date is not updating in Save Search in agreement list</t>
  </si>
  <si>
    <t>TC-MMD_BuySide_R26.3_S15_1044636_[KTLO]_[Buy Side R26.2 S14] - Supplier Permitted Termination Date is not updating in Save Search in agreement list</t>
  </si>
  <si>
    <r>
      <rPr>
        <b/>
        <sz val="10"/>
        <color rgb="FF000000"/>
        <rFont val="Segoe UI"/>
        <family val="2"/>
      </rPr>
      <t xml:space="preserve">Type: SCC
</t>
    </r>
    <r>
      <rPr>
        <sz val="10"/>
        <color rgb="FF000000"/>
        <rFont val="Segoe UI"/>
        <family val="2"/>
      </rPr>
      <t xml:space="preserve">
</t>
    </r>
    <r>
      <rPr>
        <b/>
        <sz val="10"/>
        <color rgb="FF000000"/>
        <rFont val="Segoe UI"/>
        <family val="2"/>
      </rPr>
      <t xml:space="preserve">• Validation of the Supplier Permitted Termination Date automatically increase by one day and not increasingby one in different statuses in agreement and saved search.
• Validation of: the accurate calculation of the Supplier Permitted Termination Date derived from the date variance between the Inherited Document Effective Date and the Contract Change Effective Date.
</t>
    </r>
    <r>
      <rPr>
        <sz val="10"/>
        <color rgb="FF000000"/>
        <rFont val="Segoe UI"/>
        <family val="2"/>
      </rPr>
      <t>- Direct creation of SCC in In Progress until Executed Status
- Direct creation of SCC until Awaiting Approval Status
- Direct creation of SCC until Ready for Signature Status
- Direct creation of SCC until Awaiting Signature Status
- Direct creation of SCC until Executed Status</t>
    </r>
  </si>
  <si>
    <r>
      <rPr>
        <b/>
        <sz val="10"/>
        <color rgb="FF000000"/>
        <rFont val="Segoe UI"/>
        <family val="2"/>
      </rPr>
      <t xml:space="preserve">Type: SCC
</t>
    </r>
    <r>
      <rPr>
        <sz val="10"/>
        <color rgb="FF000000"/>
        <rFont val="Segoe UI"/>
        <family val="2"/>
      </rPr>
      <t xml:space="preserve">
</t>
    </r>
    <r>
      <rPr>
        <b/>
        <sz val="10"/>
        <color rgb="FF000000"/>
        <rFont val="Segoe UI"/>
        <family val="2"/>
      </rPr>
      <t xml:space="preserve">• Validation of the Supplier Permitted Termination Date automatically increase by one day and not increasingby one in different statuses in agreement and saved search.
• Validation of: the accurate calculation of the Supplier Permitted Termination Date derived from the date variance between the Inherited Document Effective Date and the Contract Change Effective Date.
</t>
    </r>
    <r>
      <rPr>
        <sz val="10"/>
        <color rgb="FF000000"/>
        <rFont val="Segoe UI"/>
        <family val="2"/>
      </rPr>
      <t>- Direct creation of SCC in In Progress until Executed Status
- Direct creation of SCC until Awaiting Approval Status
- Direct creation of SCC until Ready for Signature Status
- Direct creation of SCC until Awaiting Signature Status</t>
    </r>
  </si>
  <si>
    <t>TPRM</t>
  </si>
  <si>
    <t>[TPRM Initiative][Functional] Unhide Unknown option in DOJ prohibited countries attribute in MMD</t>
  </si>
  <si>
    <t>TC-MMD_BuySide_R26.3_S15_1053552 [TPRM] [Functional] Unhide Unknown option in DOJ prohibited countries attribute in MMD.xlsx</t>
  </si>
  <si>
    <r>
      <rPr>
        <b/>
        <sz val="10"/>
        <color rgb="FF000000"/>
        <rFont val="Segoe UI"/>
        <family val="2"/>
      </rPr>
      <t xml:space="preserve">Type: SREQ, SMA, SCC, SSW
• Validation of the list of dropdown values for DOJ Prohibited Countries attribute.
• Validation of visibility of 'Unknown' option should be selectable in MMD. 
</t>
    </r>
    <r>
      <rPr>
        <sz val="10"/>
        <color rgb="FF000000"/>
        <rFont val="Segoe UI"/>
        <family val="2"/>
      </rPr>
      <t xml:space="preserve">
All validations and rules update will be tested with the following
 - Direct Creation of SREQ request
 - Direct Creation of Agreements (SMA, SCC, SSW)
 - Creation from SREQ request to Agreement until Executed status</t>
    </r>
  </si>
  <si>
    <r>
      <rPr>
        <b/>
        <sz val="10"/>
        <color rgb="FF000000"/>
        <rFont val="Segoe UI"/>
        <family val="2"/>
      </rPr>
      <t xml:space="preserve">Type: SREQ / SMA
</t>
    </r>
    <r>
      <rPr>
        <sz val="10"/>
        <color rgb="FF000000"/>
        <rFont val="Segoe UI"/>
        <family val="2"/>
      </rPr>
      <t xml:space="preserve">
• Inflight - Check for "Unknown" value from attribute dropdown - DOJ Prohibited Countries</t>
    </r>
  </si>
  <si>
    <t>[TPRM Initiative][Technical] Update Coupa mapping for Unknown option in DOJ prohibited countries attribute in MMD</t>
  </si>
  <si>
    <t>TC-MMD_BuySide_R26.3_S15_1053553 [TPRM][Technical] Update Coupa mapping for Unknown option in DOJ prohibited countries attribute in MMD.xlsx</t>
  </si>
  <si>
    <r>
      <rPr>
        <b/>
        <sz val="10"/>
        <color rgb="FF000000"/>
        <rFont val="Segoe UI"/>
        <family val="2"/>
      </rPr>
      <t xml:space="preserve">Coupa ---&gt; MMD
Type: SREQ, SMA, SCC, SSW
• Validation of the list of dropdown values of DOJ Prohibited Countries attribute which is integrated using Coupa ID.
• Validation of visibility of 'Unknown' option which is integrated between Coupa and MMD.
</t>
    </r>
    <r>
      <rPr>
        <sz val="10"/>
        <color rgb="FF000000"/>
        <rFont val="Segoe UI"/>
        <family val="2"/>
      </rPr>
      <t xml:space="preserve">
All validations and rules update will be tested with the following,
 - Direct Creation of SREQ request
 - Direct Creation of Agreements (SMA, SCC, SSW)
 - Creation from SREQ request to Agreement until Executed status</t>
    </r>
  </si>
  <si>
    <t>[Buy][R26.2] Multiple “Waiting for Approval – In Editing” statuses displayed instead of a single one</t>
  </si>
  <si>
    <t>https://dev.azure.com/accenturecio24/CategoryToContract_PR1085/_workitems/edit/1075154</t>
  </si>
  <si>
    <r>
      <rPr>
        <b/>
        <sz val="10"/>
        <color rgb="FF000000"/>
        <rFont val="Segoe UI"/>
        <family val="2"/>
      </rPr>
      <t xml:space="preserve">Type: SMA, SCC, SSW
• Validation of Single Business Status "Awaiting for Approval - In Editing" displayed in Agreement dashboard.
• No duplicate business status for “Awaiting for Approval – In Editing” should appear in filter options.
</t>
    </r>
    <r>
      <rPr>
        <sz val="10"/>
        <color rgb="FF000000"/>
        <rFont val="Segoe UI"/>
        <family val="2"/>
      </rPr>
      <t xml:space="preserve">
- Direct Creation of SMA, SCC, SSW until "Awaiting for Approval - In Editing" status</t>
    </r>
  </si>
  <si>
    <t>20/4 - This is an invalid bug and both the status are different and getting reflected back in SynOps - waiting for the confirmation from Deepak and Jof
21/4 - Upon discussion the bug will be rejected</t>
  </si>
  <si>
    <t>Elealeh</t>
  </si>
  <si>
    <t>[MMD BuySide][R26.3] Attribute Value discrepancy for "Is Contract Admin Present" for business status Assigned or Assignment Pending is displayed in Saved Search</t>
  </si>
  <si>
    <t>TC-MMD_BuySide_R26.3_S16_1061641_[MMD BuySide][R26.3] Attribute Value discrepancy for 'Is Contract Admin Present' for business status Assigned or Assignment Pending is displayed in Saved Search</t>
  </si>
  <si>
    <r>
      <rPr>
        <b/>
        <sz val="10"/>
        <color rgb="FF000000"/>
        <rFont val="Segoe UI"/>
        <family val="2"/>
      </rPr>
      <t xml:space="preserve">BSR | SREQ
</t>
    </r>
    <r>
      <rPr>
        <sz val="10"/>
        <color rgb="FF000000"/>
        <rFont val="Segoe UI"/>
        <family val="2"/>
      </rPr>
      <t xml:space="preserve">
•	Validation that the Contract Admin attribute value is visible in the SREQ after submission.
•	Validation that the “</t>
    </r>
    <r>
      <rPr>
        <b/>
        <sz val="10"/>
        <color rgb="FF000000"/>
        <rFont val="Segoe UI"/>
        <family val="2"/>
      </rPr>
      <t>Is Contract Admin Present</t>
    </r>
    <r>
      <rPr>
        <sz val="10"/>
        <color rgb="FF000000"/>
        <rFont val="Segoe UI"/>
        <family val="2"/>
      </rPr>
      <t>” attribute appears with the correct (Yes/Blank) value in saved search results.
•	Validation that the agreement type (Internal Project, Go To Market Offering, Single Client) aligns correctly with the workflow state.
• Validate that the contract admin is present if the status is</t>
    </r>
    <r>
      <rPr>
        <i/>
        <sz val="10"/>
        <color rgb="FF000000"/>
        <rFont val="Segoe UI"/>
        <family val="2"/>
      </rPr>
      <t xml:space="preserve"> assigned &amp; assignment pending</t>
    </r>
    <r>
      <rPr>
        <sz val="10"/>
        <color rgb="FF000000"/>
        <rFont val="Segoe UI"/>
        <family val="2"/>
      </rPr>
      <t xml:space="preserve"> and validate that the "</t>
    </r>
    <r>
      <rPr>
        <b/>
        <sz val="10"/>
        <color rgb="FF000000"/>
        <rFont val="Segoe UI"/>
        <family val="2"/>
      </rPr>
      <t>Is contract Admin Present</t>
    </r>
    <r>
      <rPr>
        <sz val="10"/>
        <color rgb="FF000000"/>
        <rFont val="Segoe UI"/>
        <family val="2"/>
      </rPr>
      <t>" has a value in the save search.</t>
    </r>
  </si>
  <si>
    <r>
      <t>• Validation that the “</t>
    </r>
    <r>
      <rPr>
        <b/>
        <sz val="10"/>
        <color rgb="FF000000"/>
        <rFont val="Segoe UI"/>
        <family val="2"/>
      </rPr>
      <t>is contract Admin Present</t>
    </r>
    <r>
      <rPr>
        <sz val="10"/>
        <color rgb="FF000000"/>
        <rFont val="Segoe UI"/>
        <family val="2"/>
      </rPr>
      <t>” attribute appears with the correct value (Yes/Blank) in the save search.</t>
    </r>
  </si>
  <si>
    <t xml:space="preserve">• Create request and remove the contract admin then validate the value in the save search.
</t>
  </si>
  <si>
    <t>Izzy</t>
  </si>
  <si>
    <t>Create Read-only role for Rules, clauses and templates in QA, Prodfix, Prod</t>
  </si>
  <si>
    <t>https://dev.azure.com/accenturecio24/CategoryToContract_PR1085/_workitems/edit/1076912</t>
  </si>
  <si>
    <t>• Validation that users assigned to the new security group have view‑only access to rules, allowing them to view rule details and audit logs without the ability to edit the rules.
• Validation that users in the new security group can download the Word version of templates and clauses.
• Validation that users in the new security group are restricted from editing or terminating templates and clauses after downloading.
• Validation that users assigned to the new MMD Template Management Stream security group, either alone or in combination with Procurement, Legal, Business, Delegated Spend, or Buyside Leadership security groups, have view‑only access to Rules, allowing them to view rule details and audit logs while being restricted from editing rules.
• Validation that users with the MMD Template Management Stream security group, with or without additional security group memberships, can view Templates and Clauses and successfully download the Word version.
• Validation that Edit and Terminate actions are not available for Templates and Clauses for users under the new MMD Template Management Stream security group, regardless of additional security group combinations.</t>
  </si>
  <si>
    <t>[4/7] Waiting for confirmation regarding the US
[4/15] tagged as on hold for now since need the discussion with Legal. </t>
  </si>
  <si>
    <t xml:space="preserve">Guna </t>
  </si>
  <si>
    <t>[TPRM Initiative][Functional][Part 1] Update attribute labels and its values in MMD</t>
  </si>
  <si>
    <t>https://dev.azure.com/accenturecio24/CategoryToContract_PR1085/_workitems/edit/1053554</t>
  </si>
  <si>
    <r>
      <rPr>
        <b/>
        <sz val="10"/>
        <color rgb="FF000000"/>
        <rFont val="Segoe UI"/>
        <family val="2"/>
      </rPr>
      <t xml:space="preserve">Type: SREQ, SMA, SCC, SSW, BSR and SynOps
• Validation of the Updated attribute labels and its values in MMD under Risk and compliance section - Supplier provision of PII back, Supplier AI PII Processing Future, DOJ Types of Bulk Sensitive Data and DOJ Prohibited Countries. 
• Validation of removing the attributes in MMD -  Supplier PII Subjects Numbers, Supplier provision of PII back Type and Accenture sharing as controller
</t>
    </r>
    <r>
      <rPr>
        <sz val="10"/>
        <color rgb="FF000000"/>
        <rFont val="Segoe UI"/>
        <family val="2"/>
      </rPr>
      <t xml:space="preserve">
All validations and rules update will be tested with the following
 - Direct Creation of SREQ request
 - Direct Creation of Agreements (SMA, SCC, SSW)
 - Creation from SREQ request to Agreement until Executed status
 - Creation of SynOps request to SCC agreement until Executed status
 - Creation of BSR request to SMA agreement until Executed status</t>
    </r>
  </si>
  <si>
    <r>
      <rPr>
        <b/>
        <sz val="10"/>
        <color rgb="FF000000"/>
        <rFont val="Segoe UI"/>
        <family val="2"/>
      </rPr>
      <t xml:space="preserve">Type: SREQ / SMA
</t>
    </r>
    <r>
      <rPr>
        <sz val="10"/>
        <color rgb="FF000000"/>
        <rFont val="Segoe UI"/>
        <family val="2"/>
      </rPr>
      <t xml:space="preserve">
• Inflight - Check for existing attribute labels and values in MMD under Risk and compliance section</t>
    </r>
  </si>
  <si>
    <t>[TPRM Initiative][Technical][Part 1]Update attribute mapping from Coupa to MMD system</t>
  </si>
  <si>
    <t>https://dev.azure.com/accenturecio24/CategoryToContract_PR1085/_workitems/edit/1077051</t>
  </si>
  <si>
    <r>
      <rPr>
        <b/>
        <sz val="10"/>
        <color rgb="FF000000"/>
        <rFont val="Segoe UI"/>
        <family val="2"/>
      </rPr>
      <t xml:space="preserve">Coupa ---&gt; MMD
Type: SREQ, SMA, SCC, SSW
• Validation of attribute lables and values which is integrated using Coupa ID - DOJ Types of Bulk Sensitive Data and DOJ Prohibited Countries
• Validation of removed attributes from MMD which is integrated between Coupa and MMD - Supplier PII Subjects Numbers, Supplier provision of PII back Type and Accenture sharing as controller
</t>
    </r>
    <r>
      <rPr>
        <sz val="10"/>
        <color rgb="FF000000"/>
        <rFont val="Segoe UI"/>
        <family val="2"/>
      </rPr>
      <t xml:space="preserve">
All validations and rules update will be tested with the following,
 - Direct Creation of SREQ request
 - Direct Creation of Agreements (SMA, SCC, SSW)
 - Creation from SREQ request to Agreement until Executed status</t>
    </r>
  </si>
  <si>
    <r>
      <rPr>
        <b/>
        <sz val="10"/>
        <color rgb="FF000000"/>
        <rFont val="Segoe UI"/>
        <family val="2"/>
      </rPr>
      <t xml:space="preserve">Type: SREQ / SMA
</t>
    </r>
    <r>
      <rPr>
        <sz val="10"/>
        <color rgb="FF000000"/>
        <rFont val="Segoe UI"/>
        <family val="2"/>
      </rPr>
      <t xml:space="preserve">
</t>
    </r>
    <r>
      <rPr>
        <b/>
        <sz val="10"/>
        <color rgb="FF000000"/>
        <rFont val="Segoe UI"/>
        <family val="2"/>
      </rPr>
      <t xml:space="preserve">• Inflight - Validate the existing attributes in MMD under Risk and compliance section using Coupa ID  
</t>
    </r>
    <r>
      <rPr>
        <sz val="10"/>
        <color rgb="FF000000"/>
        <rFont val="Segoe UI"/>
        <family val="2"/>
      </rPr>
      <t xml:space="preserve">• </t>
    </r>
    <r>
      <rPr>
        <b/>
        <sz val="10"/>
        <color rgb="FF000000"/>
        <rFont val="Segoe UI"/>
        <family val="2"/>
      </rPr>
      <t>Validation of attributes integrated between Coupa and MMD before removal</t>
    </r>
    <r>
      <rPr>
        <sz val="10"/>
        <color rgb="FF000000"/>
        <rFont val="Segoe UI"/>
        <family val="2"/>
      </rPr>
      <t xml:space="preserve"> - Supplier PII Subjects Numbers, Supplier provision of PII back Type and Accenture sharing as controller
</t>
    </r>
  </si>
  <si>
    <t>El/Jhea/Guna/Tine</t>
  </si>
  <si>
    <t>Supplier Preferred Name Values Translation to French, Spanish, Italian, German and Portuguese</t>
  </si>
  <si>
    <t>TC-MMD_BuySide_R26.3_S16_1054356_Supplier Preferred Name Values Translation to French, Spanish, Italian, German and Portuguese</t>
  </si>
  <si>
    <r>
      <rPr>
        <sz val="8"/>
        <color rgb="FF000000"/>
        <rFont val="Calibri Light"/>
        <family val="2"/>
        <scheme val="major"/>
      </rPr>
      <t xml:space="preserve">Type: </t>
    </r>
    <r>
      <rPr>
        <b/>
        <sz val="8"/>
        <color rgb="FF000000"/>
        <rFont val="Calibri Light"/>
        <family val="2"/>
        <scheme val="major"/>
      </rPr>
      <t xml:space="preserve">SMA, SSW, SCC
</t>
    </r>
    <r>
      <rPr>
        <sz val="8"/>
        <color rgb="FF000000"/>
        <rFont val="Calibri Light"/>
        <family val="2"/>
        <scheme val="major"/>
      </rPr>
      <t xml:space="preserve">
• </t>
    </r>
    <r>
      <rPr>
        <b/>
        <sz val="8"/>
        <color rgb="FF000000"/>
        <rFont val="Calibri Light"/>
        <family val="2"/>
        <scheme val="major"/>
      </rPr>
      <t xml:space="preserve">Validation of the additional dropdown options for Supplier Preferred Name should be selectable.
</t>
    </r>
    <r>
      <rPr>
        <sz val="8"/>
        <color rgb="FF000000"/>
        <rFont val="Calibri Light"/>
        <family val="2"/>
        <scheme val="major"/>
      </rPr>
      <t xml:space="preserve">Additional dropdown options:
Agency
Authorized Distributor 
Buyer
Contracting Party
Contractor
Customer
Distributor
Independent Contractor
Licensee
Licensor
Managed Service Provider (MSP)
Manufacturer
Merchant
Producer
Publisher
Retailer
Seller
Service Provider
Staffing Agency
Subcontractor
Systems Integrator
Temp Agency
Wholesaler
• </t>
    </r>
    <r>
      <rPr>
        <b/>
        <sz val="8"/>
        <color rgb="FF000000"/>
        <rFont val="Calibri Light"/>
        <family val="2"/>
        <scheme val="major"/>
      </rPr>
      <t xml:space="preserve">Validation of Language for: French, Spanish, Italian, German and Portuguese
</t>
    </r>
    <r>
      <rPr>
        <sz val="8"/>
        <color rgb="FF000000"/>
        <rFont val="Calibri Light"/>
        <family val="2"/>
        <scheme val="major"/>
      </rPr>
      <t xml:space="preserve">• </t>
    </r>
    <r>
      <rPr>
        <b/>
        <sz val="8"/>
        <color rgb="FF000000"/>
        <rFont val="Calibri Light"/>
        <family val="2"/>
        <scheme val="major"/>
      </rPr>
      <t xml:space="preserve">Validation of the selected value showing in the summary details page.
</t>
    </r>
    <r>
      <rPr>
        <sz val="8"/>
        <color rgb="FF000000"/>
        <rFont val="Calibri Light"/>
        <family val="2"/>
        <scheme val="major"/>
      </rPr>
      <t xml:space="preserve">• </t>
    </r>
    <r>
      <rPr>
        <b/>
        <sz val="8"/>
        <color rgb="FF000000"/>
        <rFont val="Calibri Light"/>
        <family val="2"/>
        <scheme val="major"/>
      </rPr>
      <t>Validation of the Supplier Preferred Name is correctly inherited and displayed in the Template and Clause.</t>
    </r>
  </si>
  <si>
    <r>
      <t xml:space="preserve">Type: </t>
    </r>
    <r>
      <rPr>
        <b/>
        <sz val="9"/>
        <color theme="1"/>
        <rFont val="Segoe UI"/>
        <family val="2"/>
      </rPr>
      <t>SMA, SSW, SCC</t>
    </r>
    <r>
      <rPr>
        <sz val="9"/>
        <color theme="1"/>
        <rFont val="Segoe UI"/>
        <family val="2"/>
      </rPr>
      <t xml:space="preserve">
• </t>
    </r>
    <r>
      <rPr>
        <b/>
        <sz val="9"/>
        <color theme="1"/>
        <rFont val="Segoe UI"/>
        <family val="2"/>
      </rPr>
      <t>Validation of the additional dropdown options for Supplier Preferred Name should be selectable.</t>
    </r>
    <r>
      <rPr>
        <sz val="9"/>
        <color theme="1"/>
        <rFont val="Segoe UI"/>
        <family val="2"/>
      </rPr>
      <t xml:space="preserve">
Additional dropdown options:
Agent 
Artist 
Consultant 
Expert 
License
Provider
Supplier
Vendor 
• </t>
    </r>
    <r>
      <rPr>
        <b/>
        <sz val="9"/>
        <color theme="1"/>
        <rFont val="Segoe UI"/>
        <family val="2"/>
      </rPr>
      <t>Validation of Language for: French, Spanish, Italian, German and Portuguese</t>
    </r>
    <r>
      <rPr>
        <sz val="9"/>
        <color theme="1"/>
        <rFont val="Segoe UI"/>
        <family val="2"/>
      </rPr>
      <t xml:space="preserve">
• </t>
    </r>
    <r>
      <rPr>
        <b/>
        <sz val="9"/>
        <color theme="1"/>
        <rFont val="Segoe UI"/>
        <family val="2"/>
      </rPr>
      <t>Validation of the selected value showing in the summary details page.</t>
    </r>
    <r>
      <rPr>
        <sz val="9"/>
        <color theme="1"/>
        <rFont val="Segoe UI"/>
        <family val="2"/>
      </rPr>
      <t xml:space="preserve">
• </t>
    </r>
    <r>
      <rPr>
        <b/>
        <sz val="9"/>
        <color theme="1"/>
        <rFont val="Segoe UI"/>
        <family val="2"/>
      </rPr>
      <t>Validation of the Supplier Preferred Name is correctly inherited and displayed in the Template and Clause.</t>
    </r>
  </si>
  <si>
    <t>On Hold - Translation-related user story not reflecting in QA despite completed configuration; under investigation with release and technical teams.
[4/28] Included in S17 P2P</t>
  </si>
  <si>
    <t>Test Case 1080461: 1.1 SREQ, SMA, SCC, SSW Validation of the new security group MMD Template Clauses and Rules Stream</t>
  </si>
  <si>
    <r>
      <rPr>
        <sz val="11"/>
        <color rgb="FF000000"/>
        <rFont val="Calibri"/>
        <family val="2"/>
        <scheme val="minor"/>
      </rPr>
      <t xml:space="preserve">• Validation that users assigned to the new security group have view‑only access to rules, allowing them to view rule details and audit logs without the ability to edit the rules.
• Validation that users in the new security group can download the Word version of templates and clauses.
• Validation that users in the new security group are restricted from editing or terminating templates and clauses.
• Validation that users assigned to the new MMD Template Management Stream security group, either alone or in combination with </t>
    </r>
    <r>
      <rPr>
        <b/>
        <sz val="8"/>
        <color rgb="FF000000"/>
        <rFont val="Segoe UI"/>
        <family val="2"/>
      </rPr>
      <t>Procurement, Legal, Business, Enhanced Business, Delegated Spend, or Buyside Leadershi</t>
    </r>
    <r>
      <rPr>
        <sz val="8"/>
        <color rgb="FF000000"/>
        <rFont val="Segoe UI"/>
        <family val="2"/>
      </rPr>
      <t>p security groups, have view‑only access to Rules, allowing them to view rule details and audit logs while being restricted from editing rules and should retain their original access and If new Security Group are added to other accesses this should elevate their access with the purpose of having the view of the Rules, and View and download templates and clauses
• Validation that users with the MMD Template Management Stream security group, with or without additional security group memberships, can view Templates and Clauses and successfully download the Word version.
• Validation that Edit and Terminate actions are not available for Templates and Clauses for users under the new MMD Template Management Stream security group, regardless of additional security group combinations.</t>
    </r>
  </si>
  <si>
    <r>
      <rPr>
        <sz val="8"/>
        <color rgb="FF000000"/>
        <rFont val="Segoe UI"/>
        <family val="2"/>
      </rPr>
      <t xml:space="preserve">• Validation of Dashboard Tiles Visibility in Security Groups (Legal, Procurement, Business, Enhance Business, Buyside Leadership, Delegated Spend) before combination of access with the new security group </t>
    </r>
    <r>
      <rPr>
        <b/>
        <sz val="8"/>
        <color rgb="FF000000"/>
        <rFont val="Segoe UI"/>
        <family val="2"/>
      </rPr>
      <t xml:space="preserve">MMD Template Clauses and Rules Stream </t>
    </r>
    <r>
      <rPr>
        <sz val="8"/>
        <color rgb="FF000000"/>
        <rFont val="Segoe UI"/>
        <family val="2"/>
      </rPr>
      <t>and after combination.
• Validation of the original dashboard tile visibility of the Said security groups.</t>
    </r>
  </si>
  <si>
    <r>
      <rPr>
        <sz val="8"/>
        <color rgb="FF000000"/>
        <rFont val="Segoe UI"/>
        <family val="2"/>
      </rPr>
      <t>• Vallidation of removal of new security group which combined the other security group (</t>
    </r>
    <r>
      <rPr>
        <b/>
        <sz val="8"/>
        <color rgb="FF000000"/>
        <rFont val="Segoe UI"/>
        <family val="2"/>
      </rPr>
      <t xml:space="preserve">Legal, and Procurement) </t>
    </r>
    <r>
      <rPr>
        <sz val="8"/>
        <color rgb="FF000000"/>
        <rFont val="Segoe UI"/>
        <family val="2"/>
      </rPr>
      <t>which untriggers the acces given by the new security group of accessing the rules and viewing them, and can download the version template in cluases and templates.</t>
    </r>
  </si>
  <si>
    <t>Astha/Jhea</t>
  </si>
  <si>
    <t>Supplier Preferred Name Values Translation to Chinese</t>
  </si>
  <si>
    <t>TC-MMD_BuySide_R26.3_S17_1071312_Supplier Preferred Name Values Translation to Chinese</t>
  </si>
  <si>
    <r>
      <rPr>
        <sz val="11"/>
        <color rgb="FF000000"/>
        <rFont val="Calibri"/>
        <family val="2"/>
        <scheme val="minor"/>
      </rPr>
      <t xml:space="preserve">Type: </t>
    </r>
    <r>
      <rPr>
        <b/>
        <sz val="8"/>
        <color rgb="FF000000"/>
        <rFont val="Segoe UI"/>
        <family val="2"/>
      </rPr>
      <t xml:space="preserve">SMA, SSW, SCC
</t>
    </r>
    <r>
      <rPr>
        <sz val="8"/>
        <color rgb="FF000000"/>
        <rFont val="Segoe UI"/>
        <family val="2"/>
      </rPr>
      <t>•</t>
    </r>
    <r>
      <rPr>
        <b/>
        <sz val="8"/>
        <color rgb="FF000000"/>
        <rFont val="Segoe UI"/>
        <family val="2"/>
      </rPr>
      <t xml:space="preserve"> Validation of the additional dropdown options for Supplier Preferred Name should be selectable.
Additional dropdown options:
</t>
    </r>
    <r>
      <rPr>
        <sz val="8"/>
        <color rgb="FF000000"/>
        <rFont val="Segoe UI"/>
        <family val="2"/>
      </rPr>
      <t xml:space="preserve">Advisor
Agency
Agent
Artist
Authorized Distributor
BDA
Beneficiary
Buyer
Consultant
Contracting Party
Contractor
Customer
Distributor
Expert
Grantee
Independent Contractor
Lessor
License
Licensee
Licensor
Luminary
Managed Service Provider (MSP)
Manufacturer
Merchant
Partner
Producer
Production House
Provider
Publisher
Purchaser
Retailer
Seller
Service Provider
Speaker
Sponsor
Staffing Agency
Subcontractor
Supplier
Systems Integrator
Temp Agency
Vendor
Wholesaler
</t>
    </r>
    <r>
      <rPr>
        <b/>
        <sz val="8"/>
        <color rgb="FF000000"/>
        <rFont val="Segoe UI"/>
        <family val="2"/>
      </rPr>
      <t xml:space="preserve">• Validation of Language for: Chinese
• Validation of the selected value showing in the summary details page.
• Validation of the Supplier Preferred Name is correctly inherited and displayed in the Template and Clause (Split View)
</t>
    </r>
  </si>
  <si>
    <r>
      <rPr>
        <sz val="8"/>
        <color rgb="FF000000"/>
        <rFont val="Segoe UI"/>
        <family val="2"/>
      </rPr>
      <t xml:space="preserve">Type: </t>
    </r>
    <r>
      <rPr>
        <b/>
        <sz val="8"/>
        <color rgb="FF000000"/>
        <rFont val="Segoe UI"/>
        <family val="2"/>
      </rPr>
      <t xml:space="preserve">SMA, SSW, SCC
</t>
    </r>
    <r>
      <rPr>
        <sz val="8"/>
        <color rgb="FF000000"/>
        <rFont val="Segoe UI"/>
        <family val="2"/>
      </rPr>
      <t xml:space="preserve">
• Validation of the Supplier Preferred Name from default during the agreement's ‘</t>
    </r>
    <r>
      <rPr>
        <b/>
        <sz val="8"/>
        <color rgb="FF000000"/>
        <rFont val="Segoe UI"/>
        <family val="2"/>
      </rPr>
      <t>In Progress</t>
    </r>
    <r>
      <rPr>
        <sz val="8"/>
        <color rgb="FF000000"/>
        <rFont val="Segoe UI"/>
        <family val="2"/>
      </rPr>
      <t xml:space="preserve">’ state.
• Validation of changing the language from Chinese to another language.
• Validation of the Supplier Preferred Name is correctly inherited and displayed in the Template and Clause (Split View).
</t>
    </r>
  </si>
  <si>
    <t xml:space="preserve"> FY26 Collateral - Iberia Market Unit rename</t>
  </si>
  <si>
    <t>TC-MMD_BuySide_R26.3_S17_1073086  FY26 Collateral - Iberia Market Unit rename</t>
  </si>
  <si>
    <r>
      <rPr>
        <sz val="11"/>
        <color rgb="FF000000"/>
        <rFont val="Calibri"/>
        <family val="2"/>
        <scheme val="minor"/>
      </rPr>
      <t xml:space="preserve">Type: Request, SMA, SCC, SSW
• Validation of when selecting country Andorra, Portugal and Spain, Market Unit is SPP
• Validation of expected attribute values during "Assigned/In Progress" status.
• Validation of added user in the team tab:
</t>
    </r>
    <r>
      <rPr>
        <sz val="8"/>
        <color rgb="FF000000"/>
        <rFont val="Segoe UI"/>
        <family val="2"/>
      </rPr>
      <t xml:space="preserve">MMD.Buy.Proc.SPP.RegionalCoordinator
</t>
    </r>
    <r>
      <rPr>
        <b/>
        <sz val="8"/>
        <color rgb="FF000000"/>
        <rFont val="Segoe UI"/>
        <family val="2"/>
      </rPr>
      <t xml:space="preserve">
</t>
    </r>
    <r>
      <rPr>
        <sz val="8"/>
        <color rgb="FF000000"/>
        <rFont val="Segoe UI"/>
        <family val="2"/>
      </rPr>
      <t xml:space="preserve">Client Deal Internal Project or Client Offering
-Internal Project
Where do you intend to use the product/service?
-Single Market Unit, multiple countries
</t>
    </r>
  </si>
  <si>
    <r>
      <rPr>
        <b/>
        <sz val="8"/>
        <color rgb="FF000000"/>
        <rFont val="Segoe UI"/>
        <family val="2"/>
      </rPr>
      <t xml:space="preserve">Type: Request, SMA, SCC, SSW
</t>
    </r>
    <r>
      <rPr>
        <sz val="8"/>
        <color rgb="FF000000"/>
        <rFont val="Segoe UI"/>
        <family val="2"/>
      </rPr>
      <t xml:space="preserve">
</t>
    </r>
    <r>
      <rPr>
        <b/>
        <sz val="8"/>
        <color rgb="FF000000"/>
        <rFont val="Segoe UI"/>
        <family val="2"/>
      </rPr>
      <t xml:space="preserve">• Validation of Market Unit and Client Group (CG) updated values of country Andorra, Portugal and Spain in the Inflight request/agreement.
</t>
    </r>
    <r>
      <rPr>
        <sz val="8"/>
        <color rgb="FF000000"/>
        <rFont val="Segoe UI"/>
        <family val="2"/>
      </rPr>
      <t xml:space="preserve">
Client Deal Internal Project or Client Offering
-Single Client Deal Subcontractor or Supplier
Do you have the Opportunity ID for this client matter?
-Yes
Enter the MMS Opportunity ID and press "Validate" to populate this form 
-0011267801</t>
    </r>
  </si>
  <si>
    <r>
      <rPr>
        <b/>
        <sz val="8"/>
        <color rgb="FF000000"/>
        <rFont val="Segoe UI"/>
        <family val="2"/>
      </rPr>
      <t xml:space="preserve">Type: Request
• Validation of expected updated attribute value during "Assigned" status.
• Validate user must not be added in the team tab:
</t>
    </r>
    <r>
      <rPr>
        <sz val="8"/>
        <color rgb="FF000000"/>
        <rFont val="Segoe UI"/>
        <family val="2"/>
      </rPr>
      <t xml:space="preserve">MMD.Buy.Proc.SPP.RegionalCoordinator
</t>
    </r>
  </si>
  <si>
    <t>Astha/Izzy</t>
  </si>
  <si>
    <t>Signed contracts should retain supplier preferred name translation</t>
  </si>
  <si>
    <t>Business Reviewed</t>
  </si>
  <si>
    <t>TC-MMD_BuySide_R26.3_S17_1082312_Signed ontracts should retain supplier preferred name translation</t>
  </si>
  <si>
    <t>Type: Request, SMA, SCC, SSW
• Validation of the original translation of the following values for Supplier Preferred Name under Business Status: Executed, Expired, Teminated, Termination Pending
- Advisor
- BDA
- Beneficiary
- Grantee
- Lessor
- Luminary
- Partner
- Production House
- Purchaser
- Speaker
- Sponsor
Languages: French, Spanish, Italian, German, Portuguese and Chinese
• Validation of the updated translation of the values mentioned above for Supplier Preferred Name for the newly created contracts
• Validation of the selected value showing in the summary details page.
• Validation of the Supplier Preferred Name is correctly inherited and displayed in the Template and Clause (Split View)</t>
  </si>
  <si>
    <t>Type: Request, SMA, SCC, SSW
• Validation of the updated translation of the following values for Supplier Preferred Name under Businees Status: Executed, Expired, Teminated, Termination Pending
- Advisor
- BDA
- Beneficiary
- Grantee
- Lessor
- Luminary
- Partner
- Production House
- Purchaser
- Speaker
- Sponsor
Languages: French, Spanish, Italian, German, Portuguese and Chinese
• Validation of changing the language from the old values to updated values
• Validation of the Supplier Preferred Name is correctly inherited and displayed in the Template and Clause (Split View).</t>
  </si>
  <si>
    <t>[TPRM Initiative][Functional][Part 2] Update attribute labels and its values in MMD</t>
  </si>
  <si>
    <t>https://dev.azure.com/accenturecio24/CategoryToContract_PR1085/_workitems/edit/1081979/</t>
  </si>
  <si>
    <r>
      <rPr>
        <b/>
        <sz val="8"/>
        <color rgb="FF000000"/>
        <rFont val="Segoe UI"/>
        <family val="2"/>
      </rPr>
      <t xml:space="preserve">Type: SREQ, SMA, SCC, SSW, BSR and SynOps
• Validation of newly created attributes in MMD - Supplier Access to Data New and Supplier PII Cross-border transfer New
• Validation of the Updated attribute labels and its values in MMD under Risk and compliance section - Supplier provision of PII back, Supplier PII Subjects, Supplier Types of PII, Accenture processing as controller Types, Accenture Adequate Countries Transfer and Supplier PII types of origin. 
• Validation of removing the attributes in MMD -  Supplier Access to Data, Supplier Access to PII, Supplier PII Cross-border transfer and Supplier AI PII Processing 
</t>
    </r>
    <r>
      <rPr>
        <sz val="8"/>
        <color rgb="FF000000"/>
        <rFont val="Segoe UI"/>
        <family val="2"/>
      </rPr>
      <t xml:space="preserve">
All validations and rules update will be tested with the following
 - Creation from SREQ request to Agreement until Executed status
 - Creation of SynOps request to SCC agreement until Executed status
 - Creation of BSR request to SMA agreement until Executed status</t>
    </r>
  </si>
  <si>
    <r>
      <rPr>
        <b/>
        <sz val="8"/>
        <color rgb="FF000000"/>
        <rFont val="Segoe UI"/>
        <family val="2"/>
      </rPr>
      <t xml:space="preserve">Type: SREQ / SMA
</t>
    </r>
    <r>
      <rPr>
        <sz val="8"/>
        <color rgb="FF000000"/>
        <rFont val="Segoe UI"/>
        <family val="2"/>
      </rPr>
      <t xml:space="preserve">
• Inflight - Check for existing attribute labels and values in MMD under Risk and compliance section</t>
    </r>
  </si>
  <si>
    <t>[TPRM Initiative][Technical][Part 2]Update attribute mapping from Coupa to MMD system</t>
  </si>
  <si>
    <t>https://dev.azure.com/accenturecio24/CategoryToContract_PR1085/_workitems/edit/1081986/</t>
  </si>
  <si>
    <r>
      <rPr>
        <b/>
        <sz val="8"/>
        <color rgb="FF000000"/>
        <rFont val="Segoe UI"/>
        <family val="2"/>
      </rPr>
      <t xml:space="preserve">Coupa ---&gt; MMD
Type: SREQ, SMA, SCC, SSW, BSR and SynOps
• Validation of attribute lables and values which is integrated using Coupa ID - Supplier provision of PII back, Supplier PII Subjects, Supplier Types of PII, Accenture processing as controller Types, Accenture Adequate Countries Transfer and Supplier PII types of origin.
• Validation of removed attributes from MMD which is integrated between Coupa and MMD - Supplier Access to Data, Supplier Access to PII, Supplier PII Cross-border transfer and Supplier AI PII Processing 
• Validation of newly created attributes in MMD using Coupa ID - Supplier Access to Data New and Supplier PII Cross-border transfer New
</t>
    </r>
    <r>
      <rPr>
        <sz val="8"/>
        <color rgb="FF000000"/>
        <rFont val="Segoe UI"/>
        <family val="2"/>
      </rPr>
      <t>All validations and rules update will be tested with the following,
 - Creation from SREQ request to Agreement until Executed status
 - Creation of SynOps request to SCC agreement until Executed status
 - Creation of BSR request to SMA agreement until Executed status</t>
    </r>
  </si>
  <si>
    <r>
      <rPr>
        <b/>
        <sz val="8"/>
        <color rgb="FF000000"/>
        <rFont val="Segoe UI"/>
        <family val="2"/>
      </rPr>
      <t xml:space="preserve">Type: SREQ / SMA
</t>
    </r>
    <r>
      <rPr>
        <sz val="8"/>
        <color rgb="FF000000"/>
        <rFont val="Segoe UI"/>
        <family val="2"/>
      </rPr>
      <t xml:space="preserve">
</t>
    </r>
    <r>
      <rPr>
        <b/>
        <sz val="8"/>
        <color rgb="FF000000"/>
        <rFont val="Segoe UI"/>
        <family val="2"/>
      </rPr>
      <t xml:space="preserve">• Inflight - Validate the existing attributes in MMD under Risk and compliance section using Coupa ID  
</t>
    </r>
    <r>
      <rPr>
        <sz val="8"/>
        <color rgb="FF000000"/>
        <rFont val="Segoe UI"/>
        <family val="2"/>
      </rPr>
      <t xml:space="preserve">• </t>
    </r>
    <r>
      <rPr>
        <b/>
        <sz val="8"/>
        <color rgb="FF000000"/>
        <rFont val="Segoe UI"/>
        <family val="2"/>
      </rPr>
      <t>Validation of attributes integrated between Coupa and MMD before removal</t>
    </r>
    <r>
      <rPr>
        <sz val="8"/>
        <color rgb="FF000000"/>
        <rFont val="Segoe UI"/>
        <family val="2"/>
      </rPr>
      <t xml:space="preserve"> - Supplier Access to Data, Supplier Access to PII, Supplier PII Cross-border transfer and Supplier AI PII Processing </t>
    </r>
  </si>
  <si>
    <t>[Collateral] - Management Hierarchy Client Group Iberia rename</t>
  </si>
  <si>
    <t>User Story 1069754 [Collateral] - Management Hierarchy Client Group Iberia rename</t>
  </si>
  <si>
    <r>
      <rPr>
        <b/>
        <sz val="8"/>
        <color rgb="FF000000"/>
        <rFont val="Segoe UI"/>
        <family val="2"/>
      </rPr>
      <t xml:space="preserve">Type: SREQ, SMA, SCC, SSW
• Validation of when selecting Andorra/Portugal/Spain and entering Opportunity ID, Client Group is automatically set to either of the values (SPP CMT, SPP FS, SPP H&amp;PS, SPP PRD, or SPP RES)
• Validated the expected attribute values during in "Assigned/In Progress" status.
</t>
    </r>
    <r>
      <rPr>
        <sz val="8"/>
        <color rgb="FF000000"/>
        <rFont val="Segoe UI"/>
        <family val="2"/>
      </rPr>
      <t>Client Deal Internal Project or Client Offering
-Single Client Deal Subcontractor or Supplier
Do you have the Opportunity ID for this client matter?
-Yes
Enter the MMS Opportunity ID and press "Validate" to populate this form 
-0011267801</t>
    </r>
  </si>
  <si>
    <r>
      <rPr>
        <b/>
        <sz val="8"/>
        <color rgb="FF000000"/>
        <rFont val="Segoe UI"/>
        <family val="2"/>
      </rPr>
      <t xml:space="preserve">Type: SREQ, SMA, SCC, SSW
</t>
    </r>
    <r>
      <rPr>
        <sz val="8"/>
        <color rgb="FF000000"/>
        <rFont val="Segoe UI"/>
        <family val="2"/>
      </rPr>
      <t xml:space="preserve">
</t>
    </r>
    <r>
      <rPr>
        <b/>
        <sz val="8"/>
        <color rgb="FF000000"/>
        <rFont val="Segoe UI"/>
        <family val="2"/>
      </rPr>
      <t xml:space="preserve">• Validation of created Inflight request/agreement is correctly updated with the expected client group values.  (SPP CMT, SPP FS, SPP H&amp;PS, SPP PRD, or SPP RES)
• Validation of expected attribute values during in "Assigned/In Progress" status.
</t>
    </r>
    <r>
      <rPr>
        <sz val="8"/>
        <color rgb="FF000000"/>
        <rFont val="Segoe UI"/>
        <family val="2"/>
      </rPr>
      <t xml:space="preserve">
</t>
    </r>
  </si>
  <si>
    <t>Adding users in the new security group MMD Templates Clauses and Rules Stream Group</t>
  </si>
  <si>
    <t>Test Case 1105899: Validation of adding Users to MMD Templates Clauses and Rules Stream Security Group
Test Case 1105937: Inflight Validation of adding Users to MMD Templates Clauses and Rules Stream Security Group</t>
  </si>
  <si>
    <r>
      <rPr>
        <sz val="11"/>
        <color rgb="FF000000"/>
        <rFont val="Calibri"/>
        <family val="2"/>
        <scheme val="minor"/>
      </rPr>
      <t>• Validation that users</t>
    </r>
    <r>
      <rPr>
        <b/>
        <sz val="8"/>
        <color rgb="FF000000"/>
        <rFont val="Segoe UI"/>
        <family val="2"/>
      </rPr>
      <t xml:space="preserve"> Prasad Shweta</t>
    </r>
    <r>
      <rPr>
        <sz val="8"/>
        <color rgb="FF000000"/>
        <rFont val="Segoe UI"/>
        <family val="2"/>
      </rPr>
      <t xml:space="preserve">, </t>
    </r>
    <r>
      <rPr>
        <b/>
        <sz val="8"/>
        <color rgb="FF000000"/>
        <rFont val="Segoe UI"/>
        <family val="2"/>
      </rPr>
      <t>Pandey Pooja</t>
    </r>
    <r>
      <rPr>
        <sz val="8"/>
        <color rgb="FF000000"/>
        <rFont val="Segoe UI"/>
        <family val="2"/>
      </rPr>
      <t xml:space="preserve">, and </t>
    </r>
    <r>
      <rPr>
        <b/>
        <sz val="8"/>
        <color rgb="FF000000"/>
        <rFont val="Segoe UI"/>
        <family val="2"/>
      </rPr>
      <t>Shankar Sushma</t>
    </r>
    <r>
      <rPr>
        <sz val="8"/>
        <color rgb="FF000000"/>
        <rFont val="Segoe UI"/>
        <family val="2"/>
      </rPr>
      <t xml:space="preserve"> is added in the new security group </t>
    </r>
    <r>
      <rPr>
        <b/>
        <sz val="8"/>
        <color rgb="FF000000"/>
        <rFont val="Segoe UI"/>
        <family val="2"/>
      </rPr>
      <t xml:space="preserve">MMD Templates Clauses and Rules Stream Group </t>
    </r>
    <r>
      <rPr>
        <sz val="8"/>
        <color rgb="FF000000"/>
        <rFont val="Segoe UI"/>
        <family val="2"/>
      </rPr>
      <t>in users dropdown in the admin tile and security groups tab.</t>
    </r>
  </si>
  <si>
    <r>
      <rPr>
        <sz val="8"/>
        <color rgb="FF000000"/>
        <rFont val="Segoe UI"/>
        <family val="2"/>
      </rPr>
      <t xml:space="preserve">• Validation of </t>
    </r>
    <r>
      <rPr>
        <b/>
        <sz val="8"/>
        <color rgb="FF000000"/>
        <rFont val="Segoe UI"/>
        <family val="2"/>
      </rPr>
      <t xml:space="preserve">Before </t>
    </r>
    <r>
      <rPr>
        <sz val="8"/>
        <color rgb="FF000000"/>
        <rFont val="Segoe UI"/>
        <family val="2"/>
      </rPr>
      <t xml:space="preserve">and </t>
    </r>
    <r>
      <rPr>
        <b/>
        <sz val="8"/>
        <color rgb="FF000000"/>
        <rFont val="Segoe UI"/>
        <family val="2"/>
      </rPr>
      <t xml:space="preserve">After scenario </t>
    </r>
    <r>
      <rPr>
        <sz val="8"/>
        <color rgb="FF000000"/>
        <rFont val="Segoe UI"/>
        <family val="2"/>
      </rPr>
      <t>of users</t>
    </r>
    <r>
      <rPr>
        <b/>
        <sz val="8"/>
        <color rgb="FF000000"/>
        <rFont val="Segoe UI"/>
        <family val="2"/>
      </rPr>
      <t xml:space="preserve"> Prasad Shweta</t>
    </r>
    <r>
      <rPr>
        <sz val="8"/>
        <color rgb="FF000000"/>
        <rFont val="Segoe UI"/>
        <family val="2"/>
      </rPr>
      <t xml:space="preserve">, </t>
    </r>
    <r>
      <rPr>
        <b/>
        <sz val="8"/>
        <color rgb="FF000000"/>
        <rFont val="Segoe UI"/>
        <family val="2"/>
      </rPr>
      <t>Pandey Pooja</t>
    </r>
    <r>
      <rPr>
        <sz val="8"/>
        <color rgb="FF000000"/>
        <rFont val="Segoe UI"/>
        <family val="2"/>
      </rPr>
      <t xml:space="preserve">, and </t>
    </r>
    <r>
      <rPr>
        <b/>
        <sz val="8"/>
        <color rgb="FF000000"/>
        <rFont val="Segoe UI"/>
        <family val="2"/>
      </rPr>
      <t>Shankar Sushma</t>
    </r>
    <r>
      <rPr>
        <sz val="8"/>
        <color rgb="FF000000"/>
        <rFont val="Segoe UI"/>
        <family val="2"/>
      </rPr>
      <t xml:space="preserve"> is not added in the new security group </t>
    </r>
    <r>
      <rPr>
        <b/>
        <sz val="8"/>
        <color rgb="FF000000"/>
        <rFont val="Segoe UI"/>
        <family val="2"/>
      </rPr>
      <t xml:space="preserve">MMD Templates Clauses and Rules Stream Group </t>
    </r>
    <r>
      <rPr>
        <sz val="8"/>
        <color rgb="FF000000"/>
        <rFont val="Segoe UI"/>
        <family val="2"/>
      </rPr>
      <t xml:space="preserve">before deployment and to be added in after deployment on </t>
    </r>
    <r>
      <rPr>
        <b/>
        <sz val="8"/>
        <color rgb="FF000000"/>
        <rFont val="Segoe UI"/>
        <family val="2"/>
      </rPr>
      <t xml:space="preserve">MMD Templates Clauses and Rules Stream Group </t>
    </r>
    <r>
      <rPr>
        <sz val="8"/>
        <color rgb="FF000000"/>
        <rFont val="Segoe UI"/>
        <family val="2"/>
      </rPr>
      <t>in users dropdown in the admin tile and security groups tab.</t>
    </r>
  </si>
  <si>
    <t>El/Jhea</t>
  </si>
  <si>
    <t>Supplier Preferred Name Values Translation to Japanese</t>
  </si>
  <si>
    <t>TC-MMD_BuySide_R26.3_S18_1097492_Supplier Preferred Name Values Translation to Japansese</t>
  </si>
  <si>
    <r>
      <rPr>
        <sz val="8"/>
        <color rgb="FF000000"/>
        <rFont val="Segoe UI"/>
        <family val="2"/>
      </rPr>
      <t xml:space="preserve">Type: </t>
    </r>
    <r>
      <rPr>
        <b/>
        <sz val="8"/>
        <color rgb="FF000000"/>
        <rFont val="Segoe UI"/>
        <family val="2"/>
      </rPr>
      <t xml:space="preserve">SMA, SSW, SCC
</t>
    </r>
    <r>
      <rPr>
        <sz val="8"/>
        <color rgb="FF000000"/>
        <rFont val="Segoe UI"/>
        <family val="2"/>
      </rPr>
      <t>•</t>
    </r>
    <r>
      <rPr>
        <b/>
        <sz val="8"/>
        <color rgb="FF000000"/>
        <rFont val="Segoe UI"/>
        <family val="2"/>
      </rPr>
      <t xml:space="preserve"> Validation of the additional dropdown options for Supplier Preferred Name should be selectable.
</t>
    </r>
    <r>
      <rPr>
        <sz val="8"/>
        <color rgb="FF000000"/>
        <rFont val="Segoe UI"/>
        <family val="2"/>
      </rPr>
      <t xml:space="preserve">Additional dropdown options:
Advisor
Agency
Agent
Artist
Authorized Distributor
BDA
Beneficiary
Buyer
Consultant
Contracting Party
Contractor
Customer
Distributor
Expert
Grantee
Independent Contractor
Lessor
License
Licensee
Licensor
Luminary
Managed Service Provider (MSP)
Manufacturer
Merchant
Partner
Producer
Production House
Provider
Publisher
Purchaser
Retailer
Seller
Service Provider
Speaker
Sponsor
Staffing Agency
Subcontractor
Supplier
Systems Integrator
Temp Agency
Vendor
Wholesaler
• </t>
    </r>
    <r>
      <rPr>
        <b/>
        <sz val="8"/>
        <color rgb="FF000000"/>
        <rFont val="Segoe UI"/>
        <family val="2"/>
      </rPr>
      <t xml:space="preserve">Validation of Language for: Japanese
</t>
    </r>
    <r>
      <rPr>
        <sz val="8"/>
        <color rgb="FF000000"/>
        <rFont val="Segoe UI"/>
        <family val="2"/>
      </rPr>
      <t xml:space="preserve">• </t>
    </r>
    <r>
      <rPr>
        <b/>
        <sz val="8"/>
        <color rgb="FF000000"/>
        <rFont val="Segoe UI"/>
        <family val="2"/>
      </rPr>
      <t xml:space="preserve">Validation of the selected value showing in the summary details page.
</t>
    </r>
    <r>
      <rPr>
        <sz val="8"/>
        <color rgb="FF000000"/>
        <rFont val="Segoe UI"/>
        <family val="2"/>
      </rPr>
      <t xml:space="preserve">• </t>
    </r>
    <r>
      <rPr>
        <b/>
        <sz val="8"/>
        <color rgb="FF000000"/>
        <rFont val="Segoe UI"/>
        <family val="2"/>
      </rPr>
      <t xml:space="preserve">Validation of the Supplier Preferred Name by changing the Language Preference settings and is correctly inherited and displayed in the Template and Clause </t>
    </r>
  </si>
  <si>
    <r>
      <rPr>
        <sz val="8"/>
        <color rgb="FF000000"/>
        <rFont val="Segoe UI"/>
        <family val="2"/>
      </rPr>
      <t xml:space="preserve">Type: </t>
    </r>
    <r>
      <rPr>
        <b/>
        <sz val="8"/>
        <color rgb="FF000000"/>
        <rFont val="Segoe UI"/>
        <family val="2"/>
      </rPr>
      <t xml:space="preserve">SMA, SSW, SCC
</t>
    </r>
    <r>
      <rPr>
        <sz val="8"/>
        <color rgb="FF000000"/>
        <rFont val="Segoe UI"/>
        <family val="2"/>
      </rPr>
      <t xml:space="preserve">
• Validation of the Supplier Preferred Name from default during the agreement's ‘</t>
    </r>
    <r>
      <rPr>
        <b/>
        <sz val="8"/>
        <color rgb="FF000000"/>
        <rFont val="Segoe UI"/>
        <family val="2"/>
      </rPr>
      <t>In Progress</t>
    </r>
    <r>
      <rPr>
        <sz val="8"/>
        <color rgb="FF000000"/>
        <rFont val="Segoe UI"/>
        <family val="2"/>
      </rPr>
      <t xml:space="preserve">’ state.
• Validation of changing the language from Japanese to another language.
• Validation of the Supplier Preferred Name is correctly inherited and displayed in the Template and Clause </t>
    </r>
  </si>
  <si>
    <t>Jhoanna</t>
  </si>
  <si>
    <t>Enhance GLN Triage Requirements Routing Rules</t>
  </si>
  <si>
    <t>TC-MMD_BuySide_R26.3_S18_1093921 Enhance GLN Triage Requirements Routing Rules.xlsx</t>
  </si>
  <si>
    <r>
      <rPr>
        <sz val="11"/>
        <color rgb="FF000000"/>
        <rFont val="Calibri"/>
        <family val="2"/>
        <scheme val="minor"/>
      </rPr>
      <t xml:space="preserve">Type: SREQ, BSR to SREQ
Client Deal - </t>
    </r>
    <r>
      <rPr>
        <b/>
        <i/>
        <sz val="8"/>
        <color rgb="FF000000"/>
        <rFont val="Segoe UI"/>
        <family val="2"/>
      </rPr>
      <t xml:space="preserve">Single Client Offering 
</t>
    </r>
    <r>
      <rPr>
        <b/>
        <sz val="8"/>
        <color rgb="FF000000"/>
        <rFont val="Segoe UI"/>
        <family val="2"/>
      </rPr>
      <t xml:space="preserve">(6) Countries: </t>
    </r>
    <r>
      <rPr>
        <i/>
        <sz val="8"/>
        <color rgb="FF000000"/>
        <rFont val="Segoe UI"/>
        <family val="2"/>
      </rPr>
      <t xml:space="preserve">Morocco, France, PH, Canada, Puerto Rico, Japan
</t>
    </r>
    <r>
      <rPr>
        <b/>
        <sz val="8"/>
        <color rgb="FF000000"/>
        <rFont val="Segoe UI"/>
        <family val="2"/>
      </rPr>
      <t xml:space="preserve">
Validation of the following Rules:
</t>
    </r>
    <r>
      <rPr>
        <i/>
        <sz val="8"/>
        <color rgb="FF000000"/>
        <rFont val="Segoe UI"/>
        <family val="2"/>
      </rPr>
      <t xml:space="preserve">- GLN Request Routing: Rule #2, #4, #5, #6
</t>
    </r>
    <r>
      <rPr>
        <b/>
        <sz val="8"/>
        <color rgb="FF000000"/>
        <rFont val="Segoe UI"/>
        <family val="2"/>
      </rPr>
      <t xml:space="preserve">
All validations and rules update will be tested with the following
- With or Without Opportunity Id
 - Direct Creation of Request 
- BSR to MMD Request </t>
    </r>
  </si>
  <si>
    <r>
      <rPr>
        <b/>
        <sz val="8"/>
        <color rgb="FF000000"/>
        <rFont val="Segoe UI"/>
        <family val="2"/>
      </rPr>
      <t xml:space="preserve">Type: SREQ
Client Deal - </t>
    </r>
    <r>
      <rPr>
        <b/>
        <i/>
        <sz val="8"/>
        <color rgb="FF000000"/>
        <rFont val="Segoe UI"/>
        <family val="2"/>
      </rPr>
      <t xml:space="preserve">Single Client Offering 
</t>
    </r>
    <r>
      <rPr>
        <b/>
        <sz val="8"/>
        <color rgb="FF000000"/>
        <rFont val="Segoe UI"/>
        <family val="2"/>
      </rPr>
      <t xml:space="preserve">(9) Countries: </t>
    </r>
    <r>
      <rPr>
        <i/>
        <sz val="8"/>
        <color rgb="FF000000"/>
        <rFont val="Segoe UI"/>
        <family val="2"/>
      </rPr>
      <t xml:space="preserve">USA, Morocco 
</t>
    </r>
    <r>
      <rPr>
        <b/>
        <sz val="8"/>
        <color rgb="FF000000"/>
        <rFont val="Segoe UI"/>
        <family val="2"/>
      </rPr>
      <t xml:space="preserve">
Validation of the following Rules:
</t>
    </r>
    <r>
      <rPr>
        <i/>
        <sz val="8"/>
        <color rgb="FF000000"/>
        <rFont val="Segoe UI"/>
        <family val="2"/>
      </rPr>
      <t xml:space="preserve">- </t>
    </r>
    <r>
      <rPr>
        <b/>
        <i/>
        <sz val="8"/>
        <color rgb="FF000000"/>
        <rFont val="Segoe UI"/>
        <family val="2"/>
      </rPr>
      <t>Not contains</t>
    </r>
    <r>
      <rPr>
        <i/>
        <sz val="8"/>
        <color rgb="FF000000"/>
        <rFont val="Segoe UI"/>
        <family val="2"/>
      </rPr>
      <t xml:space="preserve"> GLN Request Routing: Rule #2, #4, 
</t>
    </r>
    <r>
      <rPr>
        <b/>
        <sz val="8"/>
        <color rgb="FF000000"/>
        <rFont val="Segoe UI"/>
        <family val="2"/>
      </rPr>
      <t xml:space="preserve">
All validations and rules update will be tested with the following
- Opportunity Id has and no values.
 - Direct Creation of Request 
- BSR to MMD Request </t>
    </r>
  </si>
  <si>
    <t>Elealeh/Jhoanna</t>
  </si>
  <si>
    <t>Jhoanna/El/Jonathan/Jhea</t>
  </si>
  <si>
    <t>Technical Configuration – Review Functionality for Single Client Deal</t>
  </si>
  <si>
    <t>TC_MMD_Buyside_R26.3_S18_1093963_Technical Configuration – Review Functionality for Single Client Deal.xlsx</t>
  </si>
  <si>
    <t xml:space="preserve">Type SMA, SCC, SSW
Legal Request Review Behavior
⦁	Validate the Single Client Deal process using GLN countries and Request Review Rules.
⦁	Validate the Legal Request Review functionality and the “Request Review” button behavior.
⦁	Validate that once the “Request Review” button is triggered/clicked, the status changes to “Request Review in Progress” for the GLN user group.
⦁	Validate the users assigned under the GLN user group.
Cancellation
⦁	Validate that the Primary Owner can cancel a request review that is in “Request Review in Progress” status, and confirm that the “Validate for Signature” button becomes visible again.
⦁	Validate the following upon cancellation: 
⦁	If the agreement is rejected/approved, the request should be removed from the task list of users belonging to the GLN group.
⦁	The “Validate for Signature” button should become visible again.
⦁	The contract should proceed to the next phase without requiring legal review, while still allowing the option to request GLN Legal review again.
⦁	Validate that users other than the Primary Owner are not allowed to cancel the review request.
Delegation
⦁	Validate adding a delegated user through Preferences and ensure support for parallel legal reviews based on configuration.
⦁	Validate that the system supports sequential legal reviews based on configuration.
⦁	Validate that reviewer delegation follows the existing delegation rules.
Additional Validations
⦁	Direct creation from SMA, SCC, and SSW.
⦁	Validation up to Executed status.
⦁	Validation of Request functionality for SMA, SCC, and SSW.
</t>
  </si>
  <si>
    <t>Type: SMA, SCC, SSW
- If Signature Type = Fully Signed, the system should skip GLN review and move the agreement directly to Executed.
- This scenario validates that GLN review is NOT triggered. Any occurrence of GLN review steps, related UI actions, or incorrect status (e.g., In Progress) indicates a failure.</t>
  </si>
  <si>
    <t>[TPRM Initiative] Make Supplier AI PII Processing attribute visible in MMD UI</t>
  </si>
  <si>
    <t>https://dev.azure.com/accenturecio24/CategoryToContract_PR1085/_workitems/edit/1101229</t>
  </si>
  <si>
    <r>
      <rPr>
        <b/>
        <sz val="8"/>
        <color rgb="FF000000"/>
        <rFont val="Segoe UI"/>
        <family val="2"/>
      </rPr>
      <t xml:space="preserve">Type: SREQ, SMA, SCC, SSW, BSR and SynOps
• Validating the visiblity of removed attribute in MMD - Supplier AI PII Processing 
</t>
    </r>
    <r>
      <rPr>
        <sz val="8"/>
        <color rgb="FF000000"/>
        <rFont val="Segoe UI"/>
        <family val="2"/>
      </rPr>
      <t xml:space="preserve">
All validations and rules update will be tested with the following
 - Creation from SREQ request to Agreement until Executed status
 - Creation of SynOps request to SCC agreement until Executed status
 - Creation of BSR request to SMA agreement until Executed status</t>
    </r>
  </si>
  <si>
    <r>
      <rPr>
        <b/>
        <sz val="8"/>
        <color rgb="FF000000"/>
        <rFont val="Segoe UI"/>
        <family val="2"/>
      </rPr>
      <t xml:space="preserve">Type: SREQ / SMA
</t>
    </r>
    <r>
      <rPr>
        <sz val="8"/>
        <color rgb="FF000000"/>
        <rFont val="Segoe UI"/>
        <family val="2"/>
      </rPr>
      <t xml:space="preserve">
• Inflight - Validate if Supplier AI PII Processing attribute label and values is not present in MMD under Risk and compliance section</t>
    </r>
  </si>
  <si>
    <t>Display error Pop-up if SOW Effective Date exceeds End Date for SSW and SCC</t>
  </si>
  <si>
    <t>Test Case 1111032: 1.1 Validation of Display error pop-up when Contract Change Effective Date exceeds End Date on SCC
Test Case 1111138: 1.2 Validation of Display error pop-up when SOW/Order Effective Date exceeds End Date on SSW
Test Case 1111243: 1.3 Validation of Inflight Scenario Display error pop-up when Contract Change Effective Date exceeds End Date on SCC
Test Case 1111314: 1.4 Validation of Inflight Scenario Display error pop-up when SOW/Order Effective Date exceeds End Date on SSW
Test Case 1111384: 1.5 Validation of Negative Scenarios Display error pop-up when SOW/Order Effective Date and Contract Change Effective Date exceeds End Date on SSW and SCC</t>
  </si>
  <si>
    <t xml:space="preserve">Type: SCC, SSW
• Using procurement access validation of Effective date having a date that exceeds the end date.
• Validation of Effective date having a date that exceeds the end date and a pop-up error message will appear and preventing in creating the agreement.
• Validation of closing the pop-up error message will redirect to the attribute that has error message.
• Validation of Effective date having a date of before or equal to the end date and a pop-up error message will not appear and creating agreement is successful.
- Creation of direct SCC and SSW (Validating in different statuses "In Progress", "Ready for signature", "Executed" business statuses.
</t>
  </si>
  <si>
    <t xml:space="preserve">Type: SCC, SSW
Before Deployment:
• Using procurement access validation of Effective date having a date that exceeds the end date.
• Validation of Effective date having a date that exceeds the end date and a pop-up error message will not appear and creating the agreement successfully.
After Deployment:
• Using procurement access validation of Effective date having a date that exceeds the end date.
• Validation of Effective date having a date that exceeds the end date and a pop-up error message will appear and preventing in creating the agreement.
• Validation of closing the pop-up error message will redirect to the attribute that has error message.
• Validation of Effective date having a date of before or equal to the end date and a pop-up error message will not appear and creating agreement is successful.
- Creation of direct SCC and SSW (Validating in different statuses "In Progress", "Ready for signature", "Executed" business statuses.
</t>
  </si>
  <si>
    <r>
      <rPr>
        <b/>
        <sz val="8"/>
        <color rgb="FF000000"/>
        <rFont val="Segoe UI"/>
        <family val="2"/>
      </rPr>
      <t xml:space="preserve">Type: SCC, SSW
• Using of </t>
    </r>
    <r>
      <rPr>
        <sz val="8"/>
        <color rgb="FF000000"/>
        <rFont val="Segoe UI"/>
        <family val="2"/>
      </rPr>
      <t>(Buyside Leadership, Legal, Delegated Spend) access v</t>
    </r>
    <r>
      <rPr>
        <b/>
        <sz val="8"/>
        <color rgb="FF000000"/>
        <rFont val="Segoe UI"/>
        <family val="2"/>
      </rPr>
      <t xml:space="preserve">alidation of Effective date having a date that exceeds the end date and a pop-up error message will not appear and successfully agreement.
- Creation of direct SCC and SSW (Validating in phase "In Progress" business status.
</t>
    </r>
  </si>
  <si>
    <t>Require MMS Opportunity ID on Agreement Creation for Single Client Deals</t>
  </si>
  <si>
    <t>TC_MMD_BuySide_R26.3_S18_1093873_MMS Opportunity ID on Agreement Creation for Single Client Deals.xlsx</t>
  </si>
  <si>
    <t xml:space="preserve">Type: SMA, SCC and SSW
Validation of the following:
- Agreement must not be created when MMS Opportunity ID is blank
- Agreement must not be created when MMS Opportunity ID is invalid/incorrect
- Corresponding attributes must be inherited by the populated MMS Opportunity ID </t>
  </si>
  <si>
    <r>
      <t xml:space="preserve">Type: SMA, SCC and SSW
Validation of the following:
- Agreement must be created when the attribute: </t>
    </r>
    <r>
      <rPr>
        <b/>
        <sz val="8"/>
        <color rgb="FF000000"/>
        <rFont val="Segoe UI"/>
        <family val="2"/>
      </rPr>
      <t>Do you have the Opportunity ID for this client matter?</t>
    </r>
    <r>
      <rPr>
        <sz val="8"/>
        <color rgb="FF000000"/>
        <rFont val="Segoe UI"/>
        <family val="2"/>
      </rPr>
      <t xml:space="preserve"> Is populated to </t>
    </r>
    <r>
      <rPr>
        <b/>
        <sz val="8"/>
        <color rgb="FF000000"/>
        <rFont val="Segoe UI"/>
        <family val="2"/>
      </rPr>
      <t>"No"</t>
    </r>
  </si>
  <si>
    <t>[5/14] FA Review: No need for testing</t>
  </si>
  <si>
    <t>Disable DOJ notification triggers in MMD Production</t>
  </si>
  <si>
    <t>Story is removed and not part of S18</t>
  </si>
  <si>
    <t>[TPRM Initiative] Translation of Attributes under Risk and compliance section</t>
  </si>
  <si>
    <t>Hema Confirmed - Haven't yet recieved the translation file from Ligia 
Rolled over to S19</t>
  </si>
  <si>
    <t>[TPRM Initiative][Functional][Part 3] Update attribute labels and its values in MMD</t>
  </si>
  <si>
    <t>For Test Lead/Sprint Lead/FA Review</t>
  </si>
  <si>
    <t>https://dev.azure.com/accenturecio24/CategoryToContract_PR1085/_workitems/edit/1131246</t>
  </si>
  <si>
    <r>
      <rPr>
        <b/>
        <sz val="8"/>
        <color rgb="FF000000"/>
        <rFont val="Segoe UI"/>
        <family val="2"/>
      </rPr>
      <t xml:space="preserve">Type: SREQ, SMA, SCC, SSW and BSR 
• Validation of newly created attributes in MMD - Supplier provision of PII back New
</t>
    </r>
    <r>
      <rPr>
        <sz val="8"/>
        <color rgb="FF000000"/>
        <rFont val="Segoe UI"/>
        <family val="2"/>
      </rPr>
      <t xml:space="preserve">•  </t>
    </r>
    <r>
      <rPr>
        <b/>
        <sz val="8"/>
        <color rgb="FF000000"/>
        <rFont val="Segoe UI"/>
        <family val="2"/>
      </rPr>
      <t xml:space="preserve">Validation of Rules for replacement of attributes
</t>
    </r>
    <r>
      <rPr>
        <sz val="8"/>
        <color rgb="FF000000"/>
        <rFont val="Segoe UI"/>
        <family val="2"/>
      </rPr>
      <t xml:space="preserve">
All validations and rules update will be tested with the following
 - Creation from SREQ request to Agreement until Executed status
 - Creation of BSR request to SMA agreement until Executed status</t>
    </r>
  </si>
  <si>
    <r>
      <rPr>
        <b/>
        <sz val="8"/>
        <color rgb="FF000000"/>
        <rFont val="Segoe UI"/>
        <family val="2"/>
      </rPr>
      <t xml:space="preserve">Type: SREQ / SMA
</t>
    </r>
    <r>
      <rPr>
        <sz val="8"/>
        <color rgb="FF000000"/>
        <rFont val="Segoe UI"/>
        <family val="2"/>
      </rPr>
      <t xml:space="preserve">
• Inflight - Check for existing attribute label and values in MMD under Risk and compliance section - </t>
    </r>
    <r>
      <rPr>
        <b/>
        <sz val="8"/>
        <color rgb="FF000000"/>
        <rFont val="Segoe UI"/>
        <family val="2"/>
      </rPr>
      <t>Supplier provision of PII back</t>
    </r>
  </si>
  <si>
    <t>[TPRM Initiative][Technical][Part 3] Update attribute labels and its values in MMD</t>
  </si>
  <si>
    <t>https://dev.azure.com/accenturecio24/CategoryToContract_PR1085/_workitems/edit/1131306</t>
  </si>
  <si>
    <r>
      <rPr>
        <b/>
        <sz val="8"/>
        <color rgb="FF000000"/>
        <rFont val="Segoe UI"/>
        <family val="2"/>
      </rPr>
      <t xml:space="preserve">Coupa ---&gt; MMD
Type: SREQ, SMA, SCC, SSW, BSR and SynOps
• Validation of newly created attributes in MMD integrated using Coupa ID - Supplier provision of PII back New
</t>
    </r>
    <r>
      <rPr>
        <sz val="8"/>
        <color rgb="FF000000"/>
        <rFont val="Segoe UI"/>
        <family val="2"/>
      </rPr>
      <t>All validations and rules update will be tested with the following,
 - Creation from SREQ request to Agreement until Executed status
 - Creation of BSR request to SMA agreement until Executed status</t>
    </r>
  </si>
  <si>
    <t>For September Release</t>
  </si>
  <si>
    <t>KTLO/TPRM Sprint 15</t>
  </si>
  <si>
    <t>User Stories</t>
  </si>
  <si>
    <t>Passed</t>
  </si>
  <si>
    <t>Failed</t>
  </si>
  <si>
    <t>In Progress</t>
  </si>
  <si>
    <t>Not Started</t>
  </si>
  <si>
    <t>Total</t>
  </si>
  <si>
    <t>Tota - NA</t>
  </si>
  <si>
    <t>Assigned Tester</t>
  </si>
  <si>
    <t>El,Astha,Izzy</t>
  </si>
  <si>
    <t>KTLO/TPRM Sprint 16</t>
  </si>
  <si>
    <t>Bug 1061641: [MMD BuySide][R26.3] Attribute Value discrepancy for "Is Contract Admin Present" for business status Assigned or Assignment Pending is displayed in Saved Search</t>
  </si>
  <si>
    <t>User Story 1053554 [TPRM Initiative][Functional][Part 1] Update attribute labels and its values in MMD</t>
  </si>
  <si>
    <t>User Story 1073960 [TPRM Initiative][Technical][Part 1]Update attribute mapping from Coupa to MMD system</t>
  </si>
  <si>
    <t xml:space="preserve"> </t>
  </si>
  <si>
    <t>KTLO/TPRM Sprint 17</t>
  </si>
  <si>
    <t>Assignee</t>
  </si>
  <si>
    <t>El</t>
  </si>
  <si>
    <t>Tin/Guna</t>
  </si>
  <si>
    <t>Sprint 16 US but Included in S17 P2P</t>
  </si>
  <si>
    <t>KTLO/TPRM Sprint 18</t>
  </si>
  <si>
    <t>Total - NA</t>
  </si>
  <si>
    <t>Display error Pop -up if SOW Effective Date exceeds End Date for SSW and SCC</t>
  </si>
  <si>
    <t>8.7.4.45 Hotfix Regression</t>
  </si>
  <si>
    <t>MMD to SCC_Contract TC Rules Update - Legal Rules</t>
  </si>
  <si>
    <t>BSR to MMD_SCC_ Rules to set values to Data Privacy Schedules</t>
  </si>
  <si>
    <t>MMD to SSW_Update on the Request Review functionality of "Any" instead of "All" and Technical Configuration Logic</t>
  </si>
  <si>
    <t>MMD to SMA_Market Unit Buy and Market Buy Changes for Growth Markets and Europe</t>
  </si>
  <si>
    <t>MMD to SMA_TPRM to MMD Integration</t>
  </si>
  <si>
    <t>MMD SSSR to FIND_Serbia</t>
  </si>
  <si>
    <t>SUB_SBS_Germany</t>
  </si>
  <si>
    <t>June Release 26.3 Mock Test</t>
  </si>
  <si>
    <t>Scenario 1 - SREQ to SMA_USA</t>
  </si>
  <si>
    <t>SREQ GLN &amp;
Bug 1129749: [Buy Side - R26.3] Purchase Category is not match both QA and Prodfix</t>
  </si>
  <si>
    <t>[6/1] Rethanya: We are moving the master data again through p2p for purchase category on 4th June p2p. we will keep you posted once its ready for testing in prdfix.
[6/2] We encountered some issues, but since it's not a blocker, we can proceed with sign-off. We'll re-test Scenario 1 once the issue is fixed.</t>
  </si>
  <si>
    <t>Scenario 2- SREQ to SCC_France</t>
  </si>
  <si>
    <t>Scenario 3: SREQ to SSW_Portugal</t>
  </si>
  <si>
    <t>[6/1] Rethanya: We are moving the master data again through p2p for purchase category on 4th June p2p. we will keep you posted once its ready for testing in prdfix. 
[6/2] We encountered some issues, but since it's not a blocker, we can proceed with sign-off. We'll re-test Scenario 1 once the issue is fixed. It will be retested in smoke testing for june release.</t>
  </si>
  <si>
    <t>Scenario 4: SSSR to FIND_Strategic Partner_ Germany</t>
  </si>
  <si>
    <t>Scenario 5: BSR to SMA_PH</t>
  </si>
  <si>
    <t>Ele</t>
  </si>
  <si>
    <t>Scenario 6: SYNOPS to SCC_Spain</t>
  </si>
  <si>
    <t>Integration is failed from Synops to MMD because of newly created attributes as part of TPRM US and that changes should be implemented in SynOps aswell - Supplier Access to Data New attribute</t>
  </si>
  <si>
    <t>Scenario 7: MMD Templates, Clauses &amp; Rules – Read-Only Security Group Validation (Admin Access Only) (Mock &amp; Smoke)</t>
  </si>
  <si>
    <t>June Release 26.3 Smoke Test</t>
  </si>
  <si>
    <t>Hema</t>
  </si>
  <si>
    <t>Sheena</t>
  </si>
  <si>
    <t>Scenario 8: Direct SMA Creation</t>
  </si>
  <si>
    <t>Sprint Bugs</t>
  </si>
  <si>
    <t>Area</t>
  </si>
  <si>
    <t>Bug ID</t>
  </si>
  <si>
    <t>SPRINT</t>
  </si>
  <si>
    <t>Summary</t>
  </si>
  <si>
    <t>Severity</t>
  </si>
  <si>
    <t>Found In</t>
  </si>
  <si>
    <t>Country</t>
  </si>
  <si>
    <t>Impacted</t>
  </si>
  <si>
    <t>Opened</t>
  </si>
  <si>
    <t>[Buy Side - R26.3] [SCC Agreement] Missing Recipient Name in “For Your Review” Email Notification</t>
  </si>
  <si>
    <t>Closed - Verified</t>
  </si>
  <si>
    <t>3 - Medium</t>
  </si>
  <si>
    <t>QA</t>
  </si>
  <si>
    <t>Global</t>
  </si>
  <si>
    <t>SMA,SCC,SSW</t>
  </si>
  <si>
    <t>[Buy Side - R26.3] [OTP Screen] Countdown Timer Placeholder ({0}:{1}) Displayed Instead of Actual Time</t>
  </si>
  <si>
    <t>Active</t>
  </si>
  <si>
    <t>For Retest</t>
  </si>
  <si>
    <t>[MMD Buy Side - R26.3 QA] - Coupa ID values are not integrating upon triggering of the Coupa ID.</t>
  </si>
  <si>
    <t> May-12</t>
  </si>
  <si>
    <t>[Buy Side - R26.3] Error while retrieving data from MMS when validating Opportunity ID on Create Contract Request</t>
  </si>
  <si>
    <t>[Buy Side - Release QA] Required Association for Supplier Order or SOW</t>
  </si>
  <si>
    <t> May-25</t>
  </si>
  <si>
    <t>[Buy Side - 26.3] Category Group dropdown does not load on initial click of “Get Categories” button</t>
  </si>
  <si>
    <t> May-24</t>
  </si>
  <si>
    <t>[Buy FY26.3] [QA] Attribute label is displayed incorrectly in category attributes (shows technical field name)</t>
  </si>
  <si>
    <t> May-20</t>
  </si>
  <si>
    <t>Supplier PII Cross-Border Transfer New attribute dropdown displays 2 extra Countries</t>
  </si>
  <si>
    <t> May-19</t>
  </si>
  <si>
    <t>[Buy Side - 26.3] Agreements not getting expired even though end date is passed</t>
  </si>
  <si>
    <t>[Buy Side - R26.3] Supplier Preferred Name values “Advisor” and “Agent” are not translated to Chinese(Simplified) across all agreement types: SMA, SCC, and SSW.</t>
  </si>
  <si>
    <t> </t>
  </si>
  <si>
    <t>[MMD Buy Side R26.3 S18] - Unable to get supplier details</t>
  </si>
  <si>
    <t> May-5</t>
  </si>
  <si>
    <t>Mock Testing Bugs</t>
  </si>
  <si>
    <t>[Buy Side - R26.3] Purchase Category is not match both QA and Prodfix</t>
  </si>
  <si>
    <t>Prodfix and QA</t>
  </si>
  <si>
    <t>SREQ, SMA,SCC,SSW</t>
  </si>
  <si>
    <t> May-29</t>
  </si>
  <si>
    <t>[6/1] Rethanya: We are moving the master data again through p2p for purchase category on 4th June p2p. we will keep you posted once its ready for testing in prdfix.</t>
  </si>
  <si>
    <t>[Buy Side - R26.3][Prdfix] Closing the pop-up error message the screen does not focus to date entry field which has an error</t>
  </si>
  <si>
    <t>Prodfix</t>
  </si>
  <si>
    <t> May-28</t>
  </si>
  <si>
    <t>[Buy Side - R26.3 Prodfix] – Section 02 only appears after double refresh in FIND</t>
  </si>
  <si>
    <t>Rejected</t>
  </si>
  <si>
    <t>[Buy Side - R26.3] [Prdfix] Approvers Removed in Teams Tabs Still Visible in Assignment Pending</t>
  </si>
  <si>
    <t>Scope</t>
  </si>
  <si>
    <t>Default rules and Logic</t>
  </si>
  <si>
    <t>Reviewer/Approver Functionality</t>
  </si>
  <si>
    <t>Restriction of Contracts/restricted country</t>
  </si>
  <si>
    <t>Integrations supplier</t>
  </si>
  <si>
    <t>Auto Provissioning</t>
  </si>
  <si>
    <t>Email Notification</t>
  </si>
  <si>
    <t>Peer to Peer</t>
  </si>
  <si>
    <t>Smoke Testers</t>
  </si>
  <si>
    <t>Team</t>
  </si>
  <si>
    <t>Name</t>
  </si>
  <si>
    <t>Email Address</t>
  </si>
  <si>
    <t>Contact Number</t>
  </si>
  <si>
    <t>Has Prod Access</t>
  </si>
  <si>
    <t>User Access (Roles)</t>
  </si>
  <si>
    <t>Need Prod Access?</t>
  </si>
  <si>
    <t>Available</t>
  </si>
  <si>
    <t>Need Email Override</t>
  </si>
  <si>
    <t>Task Name</t>
  </si>
  <si>
    <t>Total Duration</t>
  </si>
  <si>
    <t>CDT Start</t>
  </si>
  <si>
    <t>CDT Finish</t>
  </si>
  <si>
    <t>IST Start</t>
  </si>
  <si>
    <t>IST Finish</t>
  </si>
  <si>
    <t>Phil Start date</t>
  </si>
  <si>
    <t>Phil End date</t>
  </si>
  <si>
    <t>ARG start time</t>
  </si>
  <si>
    <t>ARG end time</t>
  </si>
  <si>
    <t>MMD FA/BA</t>
  </si>
  <si>
    <t>Barcillano, Sheena</t>
  </si>
  <si>
    <t>sheena.m.barcillano@accenture.com</t>
  </si>
  <si>
    <t>Admin</t>
  </si>
  <si>
    <t>Yes</t>
  </si>
  <si>
    <t>-</t>
  </si>
  <si>
    <t>Priya, Hema</t>
  </si>
  <si>
    <t>hema.priya.r@accenture.com</t>
  </si>
  <si>
    <t xml:space="preserve">            Buy Side - Accenture Write Test/Smoke test/BSR to MMD Integration</t>
  </si>
  <si>
    <t>3 hrs</t>
  </si>
  <si>
    <t>Sat 6/13/26 2:45 PM</t>
  </si>
  <si>
    <t>Sat 6/13/26 5:45 PM</t>
  </si>
  <si>
    <t>Sun 6/14/26 1:15 AM</t>
  </si>
  <si>
    <t>Sun 6/14/26 4:15 AM</t>
  </si>
  <si>
    <t>Sun 6/14/26 3:45 AM</t>
  </si>
  <si>
    <t>Sun 6/14/26 6:45 AM</t>
  </si>
  <si>
    <t>Sat 6/13/26 4:45 PM</t>
  </si>
  <si>
    <t>Sat 6/13/26 7:45 PM</t>
  </si>
  <si>
    <t>MMD Buy Side Testing Team</t>
  </si>
  <si>
    <t>Aban, Ma. Cristine</t>
  </si>
  <si>
    <t>ma.cristine.s.aban@accenture.com</t>
  </si>
  <si>
    <t>Test Lead tasks:</t>
  </si>
  <si>
    <t>Arianne M. Abuque</t>
  </si>
  <si>
    <t>arianne.c.abuque@accenture.com</t>
  </si>
  <si>
    <t>Legal, Procurement</t>
  </si>
  <si>
    <t>Contact the Testing team/BSR</t>
  </si>
  <si>
    <t>Jerome Narvacan</t>
  </si>
  <si>
    <t>jerome.narvacan@accenture.com</t>
  </si>
  <si>
    <t>No</t>
  </si>
  <si>
    <t>Procurement</t>
  </si>
  <si>
    <t>Confirm from Diego when testing team have action item on the 1st BSR activities since we have 2 activities for BSR</t>
  </si>
  <si>
    <t>Jagadeeswaran, Guna</t>
  </si>
  <si>
    <t>guna.r.jagadeeswaran@accenture.com</t>
  </si>
  <si>
    <t>639155242994</t>
  </si>
  <si>
    <t>BSR</t>
  </si>
  <si>
    <t>Alibarbar, Diether</t>
  </si>
  <si>
    <t>diether.j.alibarbar@accenture.com</t>
  </si>
  <si>
    <t>-setup messenger group with Jof, Sheena, Cut, Dev team, BSR Team</t>
  </si>
  <si>
    <t>Rosales, Margarett</t>
  </si>
  <si>
    <t>margarett.rosales@accenture.com</t>
  </si>
  <si>
    <t>Collaborate with Diego, during his time so we can be aligned</t>
  </si>
  <si>
    <t>SYNOPS</t>
  </si>
  <si>
    <t>Shiva, Krishna</t>
  </si>
  <si>
    <t>shiva.v.krishna@accenture.com</t>
  </si>
  <si>
    <t>Agkis, Hennessey Croizette</t>
  </si>
  <si>
    <t>hennessey.c.o.agkis@accenture.com</t>
  </si>
  <si>
    <t>Sarigumba, Charina</t>
  </si>
  <si>
    <t>charina.sarigumba@accenture.com</t>
  </si>
  <si>
    <t>Duration</t>
  </si>
  <si>
    <t>PH Start</t>
  </si>
  <si>
    <t>PH Finish</t>
  </si>
  <si>
    <t>-once identified on the date &amp; time, if timing falls PH time we need to cover Diego on the meetings</t>
  </si>
  <si>
    <t>Create Teams GC with PH Testing team and BSR</t>
  </si>
  <si>
    <t>Once BSR activities starts, text message the BSR team as some are not online in Teams</t>
  </si>
  <si>
    <t>Buy Side - Accenture Write Test/Smoke test/BSR to MMD Integration</t>
  </si>
  <si>
    <t>Jonathan Carpio</t>
  </si>
  <si>
    <t>Contact the team in Messenger GC</t>
  </si>
  <si>
    <t>Check the meeting timing and/or we are on-track on the activities</t>
  </si>
  <si>
    <t>During the call with Cut, for final touchpoint Test Lead needs to join and say the testing status (if no issues or other)</t>
  </si>
  <si>
    <t xml:space="preserve">Smoke Test File: </t>
  </si>
  <si>
    <t>26.3 June Release - Smoke Testing</t>
  </si>
  <si>
    <t>Sending of Overall Testing results via email including the BSR test result</t>
  </si>
  <si>
    <t>*Note: Update the Agreement/SREQ title, must contain "CIO-TEST".</t>
  </si>
  <si>
    <t>Status email to be provided with green highlight</t>
  </si>
  <si>
    <t>Date/Time (ARG)</t>
  </si>
  <si>
    <t>To send email</t>
  </si>
  <si>
    <t>Subject</t>
  </si>
  <si>
    <t>Invitation</t>
  </si>
  <si>
    <t>MMD TEAM</t>
  </si>
  <si>
    <t>Notes</t>
  </si>
  <si>
    <t>Dec 13, 9:30 PM</t>
  </si>
  <si>
    <t>no email</t>
  </si>
  <si>
    <t>MMD R26.1 Production Cutover Bridge (24 hours)</t>
  </si>
  <si>
    <t>CIO.Legal.MMD.All; CIO.MMD.IndiaTeam; CIO.MMD.Operations; MMD.BuySide.Program.FA.BA; Legal.Tech.Ops.Leads; icmaccenture@icertis.com; Alvarez, Jacobo &lt;jacobo.alvarez@accenture.com&gt;; [downstream/integration apps alias]; Anand, Shweta, Adam, Denise, Maricar; sean.philip.mckeogh</t>
  </si>
  <si>
    <t xml:space="preserve">- </t>
  </si>
  <si>
    <t>All day Outlook invite.</t>
  </si>
  <si>
    <t>Dec 12, 9:15 PM</t>
  </si>
  <si>
    <t>MMD R26.1 Pre-cutover / Start Call (1 hour)</t>
  </si>
  <si>
    <t>&gt; All bridge call shift-members, Ops</t>
  </si>
  <si>
    <t>Same bridge used for the checkpoint and status calls.</t>
  </si>
  <si>
    <t>Dec 13, 1:30 PM</t>
  </si>
  <si>
    <t>Ella/Ian or Jun</t>
  </si>
  <si>
    <t>MMD R26.1 Cutover Status Call (20 minutes) + Send Status Email</t>
  </si>
  <si>
    <t>&gt; All bridge call shift-members</t>
  </si>
  <si>
    <t>Include people here on the status emails.</t>
  </si>
  <si>
    <t>Dec 13, 4:25 AM</t>
  </si>
  <si>
    <t>Fean/Ian or Jun</t>
  </si>
  <si>
    <t>CIO.Legal.MMD.Leads includes Stephen, Sergio, and Laura</t>
  </si>
  <si>
    <t>Dec 13, 8:10 PM</t>
  </si>
  <si>
    <t>Lucho/Lau or Diego</t>
  </si>
  <si>
    <t>Dec 14, 12:10 AM</t>
  </si>
  <si>
    <t>Cami/Lau or Diego</t>
  </si>
  <si>
    <t>Dec 14, 3:10 AM</t>
  </si>
  <si>
    <t>Gaby/Lau or Diego</t>
  </si>
  <si>
    <t>Dec 14, 5:10 AM</t>
  </si>
  <si>
    <t>Diego or Ops Team</t>
  </si>
  <si>
    <t>MMD R26.1 Cutover Executive Status Call (20 minutes)</t>
  </si>
  <si>
    <t>&gt; All bridge call shift-members, Jenn, Mackie, Erin, Cut, Ops, Anand, Shweta, Adam, sean.philip.mckeogh, Shiju</t>
  </si>
  <si>
    <t>Dec 14, 6:25 AM</t>
  </si>
  <si>
    <t>MMD R26.1 Smoke Test Readiness Call - Buy&amp;Sell Side (15 minutes)</t>
  </si>
  <si>
    <t>&gt; All bridge call shift-members, smoke testers, Ops</t>
  </si>
  <si>
    <t>Send status email 20-30 min before</t>
  </si>
  <si>
    <t>Sep13, 9:30 PM</t>
  </si>
  <si>
    <t>Shiju</t>
  </si>
  <si>
    <t>MMD R26.1 Go Confirmation Email (5 mins)</t>
  </si>
  <si>
    <t>&gt;Shiju</t>
  </si>
  <si>
    <t xml:space="preserve">            Validate Data Conversion</t>
  </si>
  <si>
    <t>1.5 hrs</t>
  </si>
  <si>
    <t>37SS+30 mins</t>
  </si>
  <si>
    <t>Sat 9/13/25 5:30 PM</t>
  </si>
  <si>
    <t>Sat 9/13/25 7:00 PM</t>
  </si>
  <si>
    <t>Sun 9/14/25 4:00 AM</t>
  </si>
  <si>
    <t>Sun 9/14/25 5:30 AM</t>
  </si>
  <si>
    <t>Sun 9/14/25 6:30 AM</t>
  </si>
  <si>
    <t>Sun 9/14/25 8:00 AM</t>
  </si>
  <si>
    <t>Sat 9/13/25 7:30 PM</t>
  </si>
  <si>
    <t>Accenture team</t>
  </si>
  <si>
    <t>Prasad/Tamim</t>
  </si>
  <si>
    <t>Sat 6/14/25 4:45 PM</t>
  </si>
  <si>
    <t>Sat 6/14/25 6:15 PM</t>
  </si>
  <si>
    <t>2 hrs</t>
  </si>
  <si>
    <t>43,44</t>
  </si>
  <si>
    <t>Sun 9/14/25 6:00 AM</t>
  </si>
  <si>
    <t>Sun 9/14/25 8:30 AM</t>
  </si>
  <si>
    <t>MMD Buy Side team</t>
  </si>
  <si>
    <t>Lau/Diego</t>
  </si>
  <si>
    <t>Sat 6/14/25 6:45 PM</t>
  </si>
  <si>
    <t>FY26.3 June Release</t>
  </si>
  <si>
    <t>Group</t>
  </si>
  <si>
    <t>Request ID</t>
  </si>
  <si>
    <t>Agreement ID</t>
  </si>
  <si>
    <t>Availability</t>
  </si>
  <si>
    <t>Day 1</t>
  </si>
  <si>
    <t>Day 2</t>
  </si>
  <si>
    <t>Day 3</t>
  </si>
  <si>
    <t>LEGAL</t>
  </si>
  <si>
    <t>INDIA</t>
  </si>
  <si>
    <t>India</t>
  </si>
  <si>
    <t>dojo.davis@accenture.com</t>
  </si>
  <si>
    <t>SREQ_33461</t>
  </si>
  <si>
    <t>SMA_66065</t>
  </si>
  <si>
    <t>YES</t>
  </si>
  <si>
    <t>Completed</t>
  </si>
  <si>
    <t>CEE Legal</t>
  </si>
  <si>
    <t>pallavi.j.verma@accenture.com</t>
  </si>
  <si>
    <t>SREQ_33458</t>
  </si>
  <si>
    <t>SMA_66093</t>
  </si>
  <si>
    <t>INDIA Legal</t>
  </si>
  <si>
    <t>CEE</t>
  </si>
  <si>
    <t>Romania</t>
  </si>
  <si>
    <t>oana-elena.soceanu@accenture.com</t>
  </si>
  <si>
    <t>SREQ_33490</t>
  </si>
  <si>
    <t>SCC_35571</t>
  </si>
  <si>
    <t>India Procurement</t>
  </si>
  <si>
    <t>Poland</t>
  </si>
  <si>
    <t>anna.mroczkowska@accenture.com</t>
  </si>
  <si>
    <t>SREQ_33449</t>
  </si>
  <si>
    <t>SMA_66092</t>
  </si>
  <si>
    <t>CEE Procurement</t>
  </si>
  <si>
    <t>emilia.trandafir@accenture.com</t>
  </si>
  <si>
    <t>SREQ_33469</t>
  </si>
  <si>
    <t>SMA_66069</t>
  </si>
  <si>
    <t>FBL Procurement</t>
  </si>
  <si>
    <t xml:space="preserve">ligia.s.seceleanu@accenture.com </t>
  </si>
  <si>
    <t>SREQ_33485</t>
  </si>
  <si>
    <t>SMA_66068</t>
  </si>
  <si>
    <t>P+</t>
  </si>
  <si>
    <t>timea.bak@accenture.com</t>
  </si>
  <si>
    <t>SREQ_33463</t>
  </si>
  <si>
    <t>SMA_66094</t>
  </si>
  <si>
    <t>Overall Status</t>
  </si>
  <si>
    <t>Sprint #</t>
  </si>
  <si>
    <t>Phase</t>
  </si>
  <si>
    <t>Start Date</t>
  </si>
  <si>
    <t>Initial End Date</t>
  </si>
  <si>
    <t>New End Date</t>
  </si>
  <si>
    <t>FBL</t>
  </si>
  <si>
    <t>France</t>
  </si>
  <si>
    <t>alina-liliana.maftei@accenture.com</t>
  </si>
  <si>
    <t>SREQ_33486</t>
  </si>
  <si>
    <t>SCC_35569</t>
  </si>
  <si>
    <t>UAT</t>
  </si>
  <si>
    <t>ashwini.a.naik@accenture.com</t>
  </si>
  <si>
    <t>SREQ_33464</t>
  </si>
  <si>
    <t>SSW_32936</t>
  </si>
  <si>
    <t>FY24.2 March Release</t>
  </si>
  <si>
    <t>UKIA Legal</t>
  </si>
  <si>
    <t>Seceleanu, Ligia</t>
  </si>
  <si>
    <t>SREQ_14733</t>
  </si>
  <si>
    <t>SMA_51299</t>
  </si>
  <si>
    <t>UKIA Legal (BSR)</t>
  </si>
  <si>
    <t>BSPR0046609</t>
  </si>
  <si>
    <t>GALLIA Legal</t>
  </si>
  <si>
    <t>Pocania, Bianca</t>
  </si>
  <si>
    <t>BSPR0046605</t>
  </si>
  <si>
    <t>SMA_51293</t>
  </si>
  <si>
    <t>NA Legal</t>
  </si>
  <si>
    <t>Atul Kherde, Aboli</t>
  </si>
  <si>
    <t>SREQ_14750</t>
  </si>
  <si>
    <t>SCC_24806</t>
  </si>
  <si>
    <t>Mohanty, Kaushik</t>
  </si>
  <si>
    <t>OOO on last day of testing</t>
  </si>
  <si>
    <t>Daniel, Magdalene</t>
  </si>
  <si>
    <t>SREQ_14764</t>
  </si>
  <si>
    <t>SMA_51324</t>
  </si>
  <si>
    <t>MR, Muthuramalingam</t>
  </si>
  <si>
    <t>FIND_6104</t>
  </si>
  <si>
    <t>Venkatappa, Manjunatha</t>
  </si>
  <si>
    <t>SREQ_14738</t>
  </si>
  <si>
    <t>SCC_24802</t>
  </si>
  <si>
    <t>Soman, Athul</t>
  </si>
  <si>
    <t>SREQ_14706</t>
  </si>
  <si>
    <t>SMA_51258</t>
  </si>
  <si>
    <t>Hussain, Imam</t>
  </si>
  <si>
    <t>SREQ_14737</t>
  </si>
  <si>
    <t>SMA_51303</t>
  </si>
  <si>
    <t>PH Procurement</t>
  </si>
  <si>
    <t>Tongol, Princess G.</t>
  </si>
  <si>
    <t>BSPR0046607</t>
  </si>
  <si>
    <t>Narra, Franklin</t>
  </si>
  <si>
    <t>FIND_6103</t>
  </si>
  <si>
    <t>Buen, Cherie Amor</t>
  </si>
  <si>
    <t>BSPR0046606</t>
  </si>
  <si>
    <t>SMA_51290</t>
  </si>
  <si>
    <t>NA Procurement</t>
  </si>
  <si>
    <t>Tula Molina, Magdalena</t>
  </si>
  <si>
    <t>SREQ_14760</t>
  </si>
  <si>
    <t>SSW_23829</t>
  </si>
  <si>
    <t>Camarero, Daniela</t>
  </si>
  <si>
    <t>SREQ_14682</t>
  </si>
  <si>
    <t>SCC_24798</t>
  </si>
  <si>
    <t>FY24.3 June Release</t>
  </si>
  <si>
    <t>ASGR Legal</t>
  </si>
  <si>
    <t>SREQ_14430</t>
  </si>
  <si>
    <t>SMA_51419</t>
  </si>
  <si>
    <t>SREQ_14425</t>
  </si>
  <si>
    <t>SSW_23735</t>
  </si>
  <si>
    <t>Miguez, Cristian has been removed as a UAT tester upon his request, as he will be collaborating with Magdalena on her UAT scenario</t>
  </si>
  <si>
    <t>SREQ_14420</t>
  </si>
  <si>
    <t>SMA_51391</t>
  </si>
  <si>
    <t xml:space="preserve">Dela Cruz, Ian Jonas </t>
  </si>
  <si>
    <t>SREQ_14423</t>
  </si>
  <si>
    <t>SCC_24766</t>
  </si>
  <si>
    <t>Verano, Jay-ar</t>
  </si>
  <si>
    <t>SSSR_1349</t>
  </si>
  <si>
    <t>Rubin, Jean</t>
  </si>
  <si>
    <t>FIND_6000</t>
  </si>
  <si>
    <t>PH Procurement/BSR</t>
  </si>
  <si>
    <t>SREQ_14428</t>
  </si>
  <si>
    <t>SMA_51410</t>
  </si>
  <si>
    <t>30/02/2024</t>
  </si>
  <si>
    <t>FY24.4 September Release</t>
  </si>
  <si>
    <t>SMA_56111</t>
  </si>
  <si>
    <t>SMA_56113</t>
  </si>
  <si>
    <t>Bauer-Grass, Claudia</t>
  </si>
  <si>
    <t>SCC_27923</t>
  </si>
  <si>
    <t>Wielgus, Eva</t>
  </si>
  <si>
    <t>SMA_56116</t>
  </si>
  <si>
    <t>ASGR Procurement</t>
  </si>
  <si>
    <t xml:space="preserve">Juraj Grega </t>
  </si>
  <si>
    <t>SCC_27917</t>
  </si>
  <si>
    <t>Timea Bak</t>
  </si>
  <si>
    <t>SMA_56118</t>
  </si>
  <si>
    <t>ICEG Procurement</t>
  </si>
  <si>
    <t xml:space="preserve">Francesca Oreto </t>
  </si>
  <si>
    <t>SREQ_18938</t>
  </si>
  <si>
    <t>SMA_56131</t>
  </si>
  <si>
    <t>Princess Tongol</t>
  </si>
  <si>
    <t>SREQ_18946</t>
  </si>
  <si>
    <t>SMA_56136</t>
  </si>
  <si>
    <t>Marinela Vicente</t>
  </si>
  <si>
    <t>SREQ_18937</t>
  </si>
  <si>
    <t>SMA_56127</t>
  </si>
  <si>
    <t>Lovelyn Juguilon</t>
  </si>
  <si>
    <t>SREQ_18954</t>
  </si>
  <si>
    <t>SCC_27926</t>
  </si>
  <si>
    <t>Cherie Amor Buen</t>
  </si>
  <si>
    <t>SREQ_18955</t>
  </si>
  <si>
    <t>SCC_27927</t>
  </si>
  <si>
    <t>INDIA Procurement</t>
  </si>
  <si>
    <t>Magdalene Daniel</t>
  </si>
  <si>
    <t>SREQ_18950</t>
  </si>
  <si>
    <t>SCC_27924</t>
  </si>
  <si>
    <t>Submitted</t>
  </si>
  <si>
    <t>Environments</t>
  </si>
  <si>
    <t>Type</t>
  </si>
  <si>
    <t>Frequency</t>
  </si>
  <si>
    <t>End Date</t>
  </si>
  <si>
    <t>Comments</t>
  </si>
  <si>
    <t>By</t>
  </si>
  <si>
    <t>Non Prod</t>
  </si>
  <si>
    <t>Soft or Hard</t>
  </si>
  <si>
    <t>PROD</t>
  </si>
  <si>
    <t>PRODFIX</t>
  </si>
  <si>
    <t>CS</t>
  </si>
  <si>
    <t>DEV</t>
  </si>
  <si>
    <t>UAT/QA</t>
  </si>
  <si>
    <t>Sandbox</t>
  </si>
  <si>
    <t>Sandbox2 (KYC)</t>
  </si>
  <si>
    <t>Philippines</t>
  </si>
  <si>
    <t>CST</t>
  </si>
  <si>
    <t>Anusha/Manu Priya</t>
  </si>
  <si>
    <t>R24.4  Sprint 12 - P2P - DEV to UAT</t>
  </si>
  <si>
    <t>x</t>
  </si>
  <si>
    <t>Hard</t>
  </si>
  <si>
    <t>R24.4 Sprint 12 - P2P - DEV to UAT Bug Fixes</t>
  </si>
  <si>
    <t>R24.4  Sprint 12- P2P - DEV to UAT Bug Fixes</t>
  </si>
  <si>
    <t>R24.4  Sprint 13 - P2P - DEV to UAT</t>
  </si>
  <si>
    <t>R24.4  Sprint 13- P2P - DEV to UAT Bug Fixes</t>
  </si>
  <si>
    <t xml:space="preserve">R24.3  Sprint 14 - P2P - DEV to UAT </t>
  </si>
  <si>
    <t>R24.4  Sprint 14 - P2P - DEV to UAT  Bug Fixes</t>
  </si>
  <si>
    <t>R24.4 Mock 1 P2P - UAT to Prodfix</t>
  </si>
  <si>
    <t>R24.4 Mock 2 P2P - UAT to Prodfix</t>
  </si>
  <si>
    <t>R 24.4 Go Live</t>
  </si>
  <si>
    <t>Anusha/Durga</t>
  </si>
  <si>
    <t xml:space="preserve">R26.3 Sprint P2P - Dev to UAT </t>
  </si>
  <si>
    <t xml:space="preserve">R26.3 Perf P2P - UAT to Perf </t>
  </si>
  <si>
    <t>R26.3 Mock1 P2P - UAT to Prodfix</t>
  </si>
  <si>
    <t>R26.3 Mock2 P2P - UAT to Prodfix</t>
  </si>
  <si>
    <t>R26.3 Go - Live</t>
  </si>
  <si>
    <t>DOWNTIME LINK</t>
  </si>
  <si>
    <t>MMD Downtime Log_v3.xlsx (accenture.com)</t>
  </si>
  <si>
    <t>Additional Downtime</t>
  </si>
  <si>
    <t>PH Time</t>
  </si>
  <si>
    <t>Sample Formula</t>
  </si>
  <si>
    <t>Environment</t>
  </si>
  <si>
    <t>Date</t>
  </si>
  <si>
    <t>Start Time</t>
  </si>
  <si>
    <t>End Time</t>
  </si>
  <si>
    <t>Total Time (Hrs)</t>
  </si>
  <si>
    <t>=TEXT(D22-C22, "h:mm")</t>
  </si>
  <si>
    <t>BSR | E2E (SBOX7)</t>
  </si>
  <si>
    <t>Market Unit</t>
  </si>
  <si>
    <t>Country Name</t>
  </si>
  <si>
    <t>MMD Available</t>
  </si>
  <si>
    <t>BSR | SNOW (SBOX7)</t>
  </si>
  <si>
    <t>Nordic</t>
  </si>
  <si>
    <t>All Countries/Global</t>
  </si>
  <si>
    <t>NA</t>
  </si>
  <si>
    <t>United States</t>
  </si>
  <si>
    <t>Iberia</t>
  </si>
  <si>
    <t>Andorra</t>
  </si>
  <si>
    <t>Canada</t>
  </si>
  <si>
    <t>Israel</t>
  </si>
  <si>
    <t>Puerto Rico</t>
  </si>
  <si>
    <t>Portugal</t>
  </si>
  <si>
    <t>PH</t>
  </si>
  <si>
    <t>Spain</t>
  </si>
  <si>
    <t>FR</t>
  </si>
  <si>
    <t>Denmark</t>
  </si>
  <si>
    <t>Belgium</t>
  </si>
  <si>
    <t>Finland</t>
  </si>
  <si>
    <t>Luxembourg</t>
  </si>
  <si>
    <t>Latvia</t>
  </si>
  <si>
    <t>Australia</t>
  </si>
  <si>
    <t>UKI</t>
  </si>
  <si>
    <t>Norway</t>
  </si>
  <si>
    <t>Ireland</t>
  </si>
  <si>
    <t>Sweden</t>
  </si>
  <si>
    <t>Mauritius</t>
  </si>
  <si>
    <t>Greater China</t>
  </si>
  <si>
    <t>Netherlands</t>
  </si>
  <si>
    <t>Africa</t>
  </si>
  <si>
    <t>South Africa</t>
  </si>
  <si>
    <t>New Zealand</t>
  </si>
  <si>
    <t>Botswana</t>
  </si>
  <si>
    <t xml:space="preserve">  hn  </t>
  </si>
  <si>
    <t>Kenya</t>
  </si>
  <si>
    <t>Middle East</t>
  </si>
  <si>
    <t>Bahrain</t>
  </si>
  <si>
    <t>Qatar</t>
  </si>
  <si>
    <t>Saudi Arabia</t>
  </si>
  <si>
    <t>United Arab Emirates</t>
  </si>
  <si>
    <t>Egypt</t>
  </si>
  <si>
    <t>SEA</t>
  </si>
  <si>
    <t>Brunei</t>
  </si>
  <si>
    <t>Indonesia</t>
  </si>
  <si>
    <t>Malaysia</t>
  </si>
  <si>
    <t>Singapore</t>
  </si>
  <si>
    <t>Thailand</t>
  </si>
  <si>
    <t>Vietnam</t>
  </si>
  <si>
    <t>ANZ</t>
  </si>
  <si>
    <t>Gallia</t>
  </si>
  <si>
    <t>Morocco</t>
  </si>
  <si>
    <t>User</t>
  </si>
  <si>
    <t>jofinny.cervera</t>
  </si>
  <si>
    <t>United Kingdom</t>
  </si>
  <si>
    <t>sheena.m.barcillano</t>
  </si>
  <si>
    <t>jhoanna.m.montales</t>
  </si>
  <si>
    <t>jonathan.carpio@accenture.com</t>
  </si>
  <si>
    <t>jhea.m.m.magoncia@accenture.com</t>
  </si>
  <si>
    <t>izzy-jhoy.padilla@accenture.com</t>
  </si>
  <si>
    <t>elealeh.tan@accenture.com</t>
  </si>
  <si>
    <t>astharani.bastia@accenture.com</t>
  </si>
  <si>
    <t>ICEG</t>
  </si>
  <si>
    <t>Bulgaria</t>
  </si>
  <si>
    <t>Czech Republic</t>
  </si>
  <si>
    <t>Greece</t>
  </si>
  <si>
    <t>Hungary</t>
  </si>
  <si>
    <t>Italy</t>
  </si>
  <si>
    <t>Austria</t>
  </si>
  <si>
    <t>Turkey</t>
  </si>
  <si>
    <t>Slovakia</t>
  </si>
  <si>
    <t>Switzerland</t>
  </si>
  <si>
    <t>ASG</t>
  </si>
  <si>
    <t>Germany</t>
  </si>
  <si>
    <t>Japan</t>
  </si>
  <si>
    <t>QA ENVIRONMENT ACCESS</t>
  </si>
  <si>
    <t>PRODFIX ENVIRONMENT ACCESS</t>
  </si>
  <si>
    <t>E</t>
  </si>
  <si>
    <t>Full Name</t>
  </si>
  <si>
    <t>EID</t>
  </si>
  <si>
    <r>
      <rPr>
        <sz val="11"/>
        <color rgb="FF000000"/>
        <rFont val="Calibri"/>
        <family val="2"/>
      </rPr>
      <t xml:space="preserve">Can Create Buy Side Request and Agreements? 
</t>
    </r>
    <r>
      <rPr>
        <sz val="11"/>
        <color rgb="FF5B9BD5"/>
        <rFont val="Calibri"/>
        <family val="2"/>
      </rPr>
      <t>(Refer to B16)</t>
    </r>
  </si>
  <si>
    <r>
      <rPr>
        <sz val="11"/>
        <color rgb="FF000000"/>
        <rFont val="Calibri"/>
        <family val="2"/>
      </rPr>
      <t xml:space="preserve">Can view Rules?
</t>
    </r>
    <r>
      <rPr>
        <sz val="11"/>
        <color rgb="FF5B9BD5"/>
        <rFont val="Calibri"/>
        <family val="2"/>
      </rPr>
      <t>(Refer to B44)</t>
    </r>
  </si>
  <si>
    <t>Has Log In as button?</t>
  </si>
  <si>
    <t>Can Create Request and Agreement?</t>
  </si>
  <si>
    <t>Can View Rules</t>
  </si>
  <si>
    <t>Has Log in as?</t>
  </si>
  <si>
    <t>Need MMD Add-in Access?</t>
  </si>
  <si>
    <t>Jhoanna Montales</t>
  </si>
  <si>
    <t>Mayee Ann Lopez</t>
  </si>
  <si>
    <t>mayee.ann.lopez</t>
  </si>
  <si>
    <t>John O'Neill</t>
  </si>
  <si>
    <t>john.m.oneill</t>
  </si>
  <si>
    <t>Jim Panambo</t>
  </si>
  <si>
    <t>jim.panambo</t>
  </si>
  <si>
    <t>Kimberly Mediavillo</t>
  </si>
  <si>
    <t>kimberly.mediavillo</t>
  </si>
  <si>
    <t>Princess Diane Medroso</t>
  </si>
  <si>
    <t>princess.d.medroso</t>
  </si>
  <si>
    <t>Jeanne Pauline Garlota</t>
  </si>
  <si>
    <t>jeanne.p.garlota</t>
  </si>
  <si>
    <t>Angelica Tindoc</t>
  </si>
  <si>
    <t>angelica.tindoc</t>
  </si>
  <si>
    <t>MMD BuySideTstAuto01</t>
  </si>
  <si>
    <t>T48176.01.BuyTstAuto</t>
  </si>
  <si>
    <t xml:space="preserve">Can Create Buy Side Request and Agreements? </t>
  </si>
  <si>
    <t>ADO ACCESS</t>
  </si>
  <si>
    <t>Can View Dashboard</t>
  </si>
  <si>
    <t>Can view Rules?</t>
  </si>
  <si>
    <t>Sat 6/13/26 3:15 PM</t>
  </si>
  <si>
    <t>Sat 6/13/26 6:15 PM</t>
  </si>
  <si>
    <t>Sun 6/14/26 1:45 AM</t>
  </si>
  <si>
    <t>Sun 6/14/26 4:45 AM</t>
  </si>
  <si>
    <t>Sun 6/14/26 7:15 AM</t>
  </si>
  <si>
    <t>Sprint 15 Preparation</t>
  </si>
  <si>
    <t>Sprint 15 Test Execution</t>
  </si>
  <si>
    <t>Sprint 16 Preparation</t>
  </si>
  <si>
    <t>Sprint 16 Test Execution</t>
  </si>
  <si>
    <t>Sprint 17 Preparation</t>
  </si>
  <si>
    <t>Sprint 17 Test Execution</t>
  </si>
  <si>
    <t>Sprint 18 Preparation</t>
  </si>
  <si>
    <t>Sprint 18 Test Execution</t>
  </si>
  <si>
    <t>UAT Execution</t>
  </si>
  <si>
    <t>Mock Test Preparation</t>
  </si>
  <si>
    <t>Mock Testing</t>
  </si>
  <si>
    <t>KTLO Bugs​</t>
  </si>
  <si>
    <t>ADO ID ​</t>
  </si>
  <si>
    <t>Status​</t>
  </si>
  <si>
    <t>Sprint #​</t>
  </si>
  <si>
    <t>Comment​</t>
  </si>
  <si>
    <t>[MMD BuySide][R26.2 QA, PRDFIX] - Excess signatory is showing in the signatory field​</t>
  </si>
  <si>
    <t>1041077​</t>
  </si>
  <si>
    <t>Closed - Verified​</t>
  </si>
  <si>
    <t>15​</t>
  </si>
  <si>
    <t>Backlog Defect​</t>
  </si>
  <si>
    <t>[Buy Side R26.2 S14] - Supplier Permitted Termination Date is not updating in Save Search in agreement list​</t>
  </si>
  <si>
    <t>1044636​</t>
  </si>
  <si>
    <t>[MMD BuySide][R26.3] Attribute Value discrepancy for "Is Contract Admin Present" for business status Assigned or Assignment Pending is displayed in Saved Search​</t>
  </si>
  <si>
    <t>1061641​</t>
  </si>
  <si>
    <t>16​</t>
  </si>
  <si>
    <t>[BuySide R26.3 QA/Prodfix] Unable to Validate for Signature Due to Missing Mandatory Supplier Details​</t>
  </si>
  <si>
    <t>1083765​</t>
  </si>
  <si>
    <t>17​</t>
  </si>
  <si>
    <t>Product Testing Defect​</t>
  </si>
  <si>
    <t>[Buy Side - R26.3 QA] - Delegated Spend Acquisition Attribute Field Is Visible When Condition Is Not Met​</t>
  </si>
  <si>
    <t>1087190​</t>
  </si>
  <si>
    <t>[MMD Buy Side R26.3 S18] - Unable to get supplier details​</t>
  </si>
  <si>
    <t>1100995​</t>
  </si>
  <si>
    <t>18​</t>
  </si>
  <si>
    <t>[Buy Side - R26.3] Supplier Preferred Name values “Advisor” and “Agent” are not translated to Chinese(Simplified) across all agreement types: SMA, SCC, and SSW.​</t>
  </si>
  <si>
    <t>1110287​</t>
  </si>
  <si>
    <t>[Buy Side - 26.3] Agreements not getting expired even though end date is passed​</t>
  </si>
  <si>
    <t>1118820​</t>
  </si>
  <si>
    <t>19​</t>
  </si>
  <si>
    <t>[Buy Side - Release QA] Required Association for Supplier Order or SOW​</t>
  </si>
  <si>
    <t>1129174​</t>
  </si>
  <si>
    <t>[Buy Side - R26.3][Prdfix] Closing the pop-up error message the screen does not focus to date entry field which has an error​</t>
  </si>
  <si>
    <t>1129099​</t>
  </si>
  <si>
    <t>Mock Testing Defect​</t>
  </si>
  <si>
    <t>[Buy FY26.3] [QA] Attribute label is displayed incorrectly in category attributes (shows technical field name)​</t>
  </si>
  <si>
    <t>1119900​</t>
  </si>
  <si>
    <t>[Buy Side - 26.3] Category Group dropdown does not load on initial click of “Get Categories” button​</t>
  </si>
  <si>
    <t>1128512​</t>
  </si>
  <si>
    <t>[Buy Side - R26.3] Purchase Category is not match both QA and Prodfix​</t>
  </si>
  <si>
    <t>1129749​</t>
  </si>
  <si>
    <r>
      <t>TPRM Bugs</t>
    </r>
    <r>
      <rPr>
        <sz val="10"/>
        <color rgb="FF000000"/>
        <rFont val="Calibri"/>
        <family val="2"/>
      </rPr>
      <t>​</t>
    </r>
  </si>
  <si>
    <r>
      <t>ADO ID </t>
    </r>
    <r>
      <rPr>
        <sz val="10"/>
        <color rgb="FF000000"/>
        <rFont val="Calibri"/>
        <family val="2"/>
      </rPr>
      <t>​</t>
    </r>
  </si>
  <si>
    <r>
      <t>Status</t>
    </r>
    <r>
      <rPr>
        <sz val="10"/>
        <color rgb="FF000000"/>
        <rFont val="Calibri"/>
        <family val="2"/>
      </rPr>
      <t>​</t>
    </r>
  </si>
  <si>
    <r>
      <t>Sprint #</t>
    </r>
    <r>
      <rPr>
        <sz val="10"/>
        <color rgb="FF000000"/>
        <rFont val="Calibri"/>
        <family val="2"/>
      </rPr>
      <t>​</t>
    </r>
  </si>
  <si>
    <r>
      <t>Comment</t>
    </r>
    <r>
      <rPr>
        <sz val="10"/>
        <color rgb="FF000000"/>
        <rFont val="Calibri"/>
        <family val="2"/>
      </rPr>
      <t>​</t>
    </r>
  </si>
  <si>
    <t>[MMD Buy Side - R26.3 QA] - Coupa ID values are not integrating upon triggering of the Coupa ID​</t>
  </si>
  <si>
    <t>1108153​</t>
  </si>
  <si>
    <t>Supplier PII Cross-Border Transfer New attribute dropdown displays 2 extra Countries​</t>
  </si>
  <si>
    <t>1117652​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</si>
</sst>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d/yy\ h:mm\ AM/PM;@"/>
    <numFmt numFmtId="165" formatCode="yyyy\-mm\-dd;@"/>
    <numFmt numFmtId="166" formatCode="[$-409]h:mm\ AM/PM;@"/>
  </numFmts>
  <fonts count="133">
    <font>
      <sz val="11"/>
      <color theme="1"/>
      <name val="Calibri"/>
      <family val="2"/>
      <scheme val="minor"/>
    </font>
    <font>
      <sz val="11"/>
      <color theme="1"/>
      <name val="Calibri"/>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1"/>
      <name val="Calibri"/>
      <family val="2"/>
      <scheme val="minor"/>
    </font>
    <font>
      <b/>
      <sz val="8.5"/>
      <color rgb="FFB5B5B5"/>
      <name val="Segoe UI"/>
      <family val="2"/>
    </font>
    <font>
      <b/>
      <sz val="8.5"/>
      <color rgb="FF2B2B2B"/>
      <name val="Segoe UI"/>
      <family val="2"/>
    </font>
    <font>
      <sz val="8.5"/>
      <color rgb="FF2B2B2B"/>
      <name val="Segoe UI"/>
      <family val="2"/>
    </font>
    <font>
      <b/>
      <sz val="8"/>
      <color theme="0"/>
      <name val="Segoe UI"/>
      <family val="2"/>
    </font>
    <font>
      <sz val="8"/>
      <color theme="1"/>
      <name val="Segoe UI"/>
      <family val="2"/>
    </font>
    <font>
      <sz val="8"/>
      <color rgb="FF000000"/>
      <name val="Segoe UI"/>
      <family val="2"/>
    </font>
    <font>
      <sz val="11"/>
      <color rgb="FF000000"/>
      <name val="Calibri"/>
      <family val="2"/>
      <scheme val="minor"/>
    </font>
    <font>
      <b/>
      <sz val="8"/>
      <color rgb="FF000000"/>
      <name val="Segoe UI"/>
      <family val="2"/>
    </font>
    <font>
      <sz val="8"/>
      <name val="Segoe UI"/>
      <family val="2"/>
    </font>
    <font>
      <b/>
      <sz val="14"/>
      <color theme="1"/>
      <name val="Calibri"/>
      <family val="2"/>
      <scheme val="minor"/>
    </font>
    <font>
      <b/>
      <sz val="11"/>
      <color theme="0"/>
      <name val="Arial"/>
      <family val="2"/>
    </font>
    <font>
      <sz val="10"/>
      <name val="Segoe UI"/>
      <family val="2"/>
    </font>
    <font>
      <b/>
      <sz val="9"/>
      <color indexed="81"/>
      <name val="Tahoma"/>
      <family val="2"/>
    </font>
    <font>
      <sz val="9"/>
      <color indexed="81"/>
      <name val="Tahoma"/>
      <family val="2"/>
    </font>
    <font>
      <b/>
      <sz val="10"/>
      <color rgb="FF000000"/>
      <name val="Segoe UI"/>
      <family val="2"/>
    </font>
    <font>
      <b/>
      <sz val="11"/>
      <color rgb="FFFFFFFF"/>
      <name val="Calibri"/>
      <family val="2"/>
    </font>
    <font>
      <b/>
      <sz val="10"/>
      <color theme="1"/>
      <name val="Calibri"/>
      <family val="2"/>
      <scheme val="minor"/>
    </font>
    <font>
      <sz val="10"/>
      <color theme="1"/>
      <name val="Calibri Light"/>
      <family val="2"/>
      <scheme val="major"/>
    </font>
    <font>
      <b/>
      <sz val="10"/>
      <color theme="1"/>
      <name val="Calibri Light"/>
      <family val="2"/>
      <scheme val="major"/>
    </font>
    <font>
      <sz val="10"/>
      <color theme="1"/>
      <name val="Calibri"/>
      <family val="2"/>
      <scheme val="minor"/>
    </font>
    <font>
      <b/>
      <sz val="11"/>
      <color rgb="FFFFFFFF"/>
      <name val="Calibri"/>
      <family val="2"/>
      <scheme val="minor"/>
    </font>
    <font>
      <b/>
      <sz val="10"/>
      <color rgb="FFFFFFFF"/>
      <name val="Calibri"/>
      <family val="2"/>
      <scheme val="minor"/>
    </font>
    <font>
      <b/>
      <sz val="10"/>
      <color rgb="FF000000"/>
      <name val="Calibri"/>
      <family val="2"/>
    </font>
    <font>
      <sz val="11"/>
      <color rgb="FF000000"/>
      <name val="Calibri"/>
      <family val="2"/>
    </font>
    <font>
      <sz val="10"/>
      <color rgb="FF000000"/>
      <name val="Calibri Light"/>
      <family val="2"/>
    </font>
    <font>
      <b/>
      <sz val="10"/>
      <color rgb="FFFFFFFF"/>
      <name val="Calibri"/>
      <family val="2"/>
    </font>
    <font>
      <sz val="10"/>
      <color rgb="FF000000"/>
      <name val="Calibri"/>
      <family val="2"/>
    </font>
    <font>
      <b/>
      <sz val="11"/>
      <color rgb="FF000000"/>
      <name val="Calibri"/>
      <family val="2"/>
    </font>
    <font>
      <b/>
      <sz val="9"/>
      <color rgb="FF00B050"/>
      <name val="Segoe UI"/>
      <family val="2"/>
    </font>
    <font>
      <sz val="10"/>
      <color rgb="FF000000"/>
      <name val="Arial"/>
      <family val="2"/>
    </font>
    <font>
      <b/>
      <sz val="9"/>
      <color rgb="FF000000"/>
      <name val="Calibri"/>
      <family val="2"/>
      <scheme val="minor"/>
    </font>
    <font>
      <i/>
      <sz val="8"/>
      <color rgb="FF000000"/>
      <name val="Calibri"/>
      <family val="2"/>
      <scheme val="minor"/>
    </font>
    <font>
      <b/>
      <sz val="8"/>
      <color rgb="FFFF0000"/>
      <name val="Calibri"/>
      <family val="2"/>
      <scheme val="minor"/>
    </font>
    <font>
      <sz val="8"/>
      <color rgb="FF000000"/>
      <name val="Calibri"/>
      <family val="2"/>
      <scheme val="minor"/>
    </font>
    <font>
      <sz val="9"/>
      <color rgb="FF000000"/>
      <name val="Calibri"/>
      <family val="2"/>
      <scheme val="minor"/>
    </font>
    <font>
      <sz val="9"/>
      <color theme="1"/>
      <name val="Calibri"/>
      <family val="2"/>
      <scheme val="minor"/>
    </font>
    <font>
      <sz val="9"/>
      <color rgb="FF000000"/>
      <name val="Calibri"/>
      <family val="2"/>
    </font>
    <font>
      <sz val="8"/>
      <color rgb="FF0A0101"/>
      <name val="Arial"/>
      <family val="2"/>
    </font>
    <font>
      <sz val="10"/>
      <color rgb="FF000000"/>
      <name val="Calibri"/>
      <family val="2"/>
      <scheme val="minor"/>
    </font>
    <font>
      <i/>
      <sz val="11"/>
      <color theme="1"/>
      <name val="Calibri"/>
      <family val="2"/>
      <scheme val="minor"/>
    </font>
    <font>
      <sz val="11"/>
      <color rgb="FFFFFFFF"/>
      <name val="Calibri"/>
      <family val="2"/>
      <scheme val="minor"/>
    </font>
    <font>
      <sz val="11"/>
      <color theme="1"/>
      <name val="Calibri"/>
      <family val="2"/>
    </font>
    <font>
      <sz val="11"/>
      <color rgb="FF5B9BD5"/>
      <name val="Calibri"/>
      <family val="2"/>
    </font>
    <font>
      <b/>
      <sz val="8"/>
      <color rgb="FFFFFFFF"/>
      <name val="Segoe UI"/>
      <family val="2"/>
    </font>
    <font>
      <sz val="9"/>
      <color rgb="FF000000"/>
      <name val="Segoe UI"/>
      <family val="2"/>
    </font>
    <font>
      <b/>
      <sz val="9"/>
      <color theme="1"/>
      <name val="Segoe UI"/>
      <family val="2"/>
    </font>
    <font>
      <sz val="9"/>
      <color theme="1"/>
      <name val="Segoe UI"/>
      <family val="2"/>
    </font>
    <font>
      <b/>
      <sz val="9"/>
      <color rgb="FFFFFFFF"/>
      <name val="Segoe UI"/>
      <family val="2"/>
    </font>
    <font>
      <sz val="8"/>
      <color theme="1"/>
      <name val="Calibri"/>
      <family val="2"/>
      <scheme val="minor"/>
    </font>
    <font>
      <b/>
      <sz val="12"/>
      <color theme="1"/>
      <name val="Calibri"/>
      <family val="2"/>
      <scheme val="minor"/>
    </font>
    <font>
      <b/>
      <i/>
      <sz val="10"/>
      <color rgb="FFC65911"/>
      <name val="Calibri"/>
      <family val="2"/>
      <scheme val="minor"/>
    </font>
    <font>
      <b/>
      <sz val="9"/>
      <color rgb="FF000000"/>
      <name val="Calibri"/>
      <family val="2"/>
    </font>
    <font>
      <b/>
      <sz val="10"/>
      <color rgb="FF000000"/>
      <name val="Calibri"/>
      <family val="2"/>
      <scheme val="minor"/>
    </font>
    <font>
      <b/>
      <sz val="10"/>
      <color rgb="FF0070C0"/>
      <name val="Calibri"/>
      <family val="2"/>
      <scheme val="minor"/>
    </font>
    <font>
      <b/>
      <sz val="10"/>
      <color rgb="FFC65911"/>
      <name val="Calibri"/>
      <family val="2"/>
      <scheme val="minor"/>
    </font>
    <font>
      <sz val="10"/>
      <color rgb="FFC65911"/>
      <name val="Calibri"/>
      <family val="2"/>
      <scheme val="minor"/>
    </font>
    <font>
      <sz val="11"/>
      <color rgb="FF2E75B5"/>
      <name val="Calibri"/>
      <family val="2"/>
    </font>
    <font>
      <sz val="11"/>
      <color rgb="FFBF9000"/>
      <name val="Calibri"/>
      <family val="2"/>
    </font>
    <font>
      <b/>
      <sz val="14"/>
      <name val="Calibri"/>
      <family val="2"/>
      <scheme val="minor"/>
    </font>
    <font>
      <b/>
      <sz val="9"/>
      <color rgb="FF000000"/>
      <name val="Segoe UI"/>
      <family val="2"/>
    </font>
    <font>
      <sz val="9"/>
      <name val="Calibri"/>
      <family val="2"/>
      <scheme val="minor"/>
    </font>
    <font>
      <b/>
      <sz val="9"/>
      <color theme="0"/>
      <name val="Segoe UI"/>
      <family val="2"/>
    </font>
    <font>
      <strike/>
      <sz val="9"/>
      <color rgb="FF000000"/>
      <name val="Segoe UI"/>
      <family val="2"/>
    </font>
    <font>
      <b/>
      <sz val="10"/>
      <color theme="0"/>
      <name val="Segoe UI"/>
      <family val="2"/>
    </font>
    <font>
      <b/>
      <sz val="11"/>
      <color theme="0"/>
      <name val="Segoe UI"/>
      <family val="2"/>
    </font>
    <font>
      <sz val="10"/>
      <color rgb="FF000000"/>
      <name val="Segoe UI"/>
      <family val="2"/>
    </font>
    <font>
      <sz val="10"/>
      <color theme="1"/>
      <name val="Segoe UI"/>
      <family val="2"/>
    </font>
    <font>
      <b/>
      <sz val="10"/>
      <color theme="1"/>
      <name val="Segoe UI"/>
      <family val="2"/>
    </font>
    <font>
      <u/>
      <sz val="10"/>
      <color theme="10"/>
      <name val="Segoe UI"/>
      <family val="2"/>
    </font>
    <font>
      <b/>
      <sz val="10"/>
      <color theme="5" tint="-0.249977111117893"/>
      <name val="Segoe UI"/>
      <family val="2"/>
    </font>
    <font>
      <u/>
      <sz val="10"/>
      <color theme="10"/>
      <name val="Calibri"/>
      <family val="2"/>
      <scheme val="minor"/>
    </font>
    <font>
      <b/>
      <sz val="10"/>
      <color rgb="FFC00000"/>
      <name val="Segoe UI"/>
      <family val="2"/>
    </font>
    <font>
      <b/>
      <sz val="11"/>
      <color rgb="FFFF0000"/>
      <name val="Calibri"/>
      <family val="2"/>
    </font>
    <font>
      <sz val="11"/>
      <color rgb="FF0A0101"/>
      <name val="Calibri"/>
      <family val="2"/>
    </font>
    <font>
      <b/>
      <sz val="10"/>
      <color rgb="FFFF0000"/>
      <name val="Calibri"/>
      <family val="2"/>
      <scheme val="minor"/>
    </font>
    <font>
      <sz val="8"/>
      <color theme="0"/>
      <name val="Arial"/>
      <family val="2"/>
    </font>
    <font>
      <sz val="8"/>
      <color rgb="FF000000"/>
      <name val="Calibri Light"/>
      <family val="2"/>
      <scheme val="major"/>
    </font>
    <font>
      <b/>
      <sz val="10"/>
      <name val="Segoe UI"/>
      <family val="2"/>
    </font>
    <font>
      <sz val="11"/>
      <color theme="1"/>
      <name val="Arial"/>
      <family val="2"/>
    </font>
    <font>
      <sz val="8"/>
      <color theme="1"/>
      <name val="Segoe UI"/>
      <family val="2"/>
    </font>
    <font>
      <b/>
      <sz val="11"/>
      <color rgb="FF000000"/>
      <name val="Arial"/>
      <family val="2"/>
    </font>
    <font>
      <sz val="11"/>
      <color rgb="FF000000"/>
      <name val="Arial"/>
      <family val="2"/>
    </font>
    <font>
      <u/>
      <sz val="11"/>
      <color theme="4"/>
      <name val="Calibri"/>
      <family val="2"/>
      <scheme val="minor"/>
    </font>
    <font>
      <u/>
      <sz val="11"/>
      <color rgb="FF0070C0"/>
      <name val="Calibri"/>
      <family val="2"/>
      <scheme val="minor"/>
    </font>
    <font>
      <sz val="9"/>
      <name val="Segoe UI"/>
      <family val="2"/>
    </font>
    <font>
      <b/>
      <i/>
      <sz val="8"/>
      <color rgb="FF000000"/>
      <name val="Segoe UI"/>
      <family val="2"/>
    </font>
    <font>
      <i/>
      <sz val="8"/>
      <color rgb="FF000000"/>
      <name val="Segoe UI"/>
      <family val="2"/>
    </font>
    <font>
      <sz val="11"/>
      <name val="Calibri"/>
      <family val="2"/>
      <scheme val="minor"/>
    </font>
    <font>
      <sz val="8"/>
      <name val="Calibri"/>
      <family val="2"/>
      <scheme val="minor"/>
    </font>
    <font>
      <i/>
      <sz val="10"/>
      <color rgb="FF000000"/>
      <name val="Segoe UI"/>
      <family val="2"/>
    </font>
    <font>
      <b/>
      <sz val="8"/>
      <color rgb="FF000000"/>
      <name val="Calibri Light"/>
      <family val="2"/>
      <scheme val="major"/>
    </font>
    <font>
      <b/>
      <sz val="10"/>
      <color rgb="FFFFFFFF"/>
      <name val="Calibri Light"/>
      <family val="2"/>
    </font>
    <font>
      <sz val="10"/>
      <name val="Calibri Light"/>
      <family val="2"/>
    </font>
    <font>
      <b/>
      <sz val="10"/>
      <color rgb="FF000000"/>
      <name val="Calibri Light"/>
      <family val="2"/>
    </font>
    <font>
      <sz val="10"/>
      <color theme="1"/>
      <name val="Calibri Light"/>
      <family val="2"/>
    </font>
    <font>
      <b/>
      <sz val="10"/>
      <color theme="1"/>
      <name val="Calibri"/>
      <family val="2"/>
    </font>
    <font>
      <b/>
      <sz val="10"/>
      <name val="Calibri"/>
      <family val="2"/>
    </font>
    <font>
      <b/>
      <sz val="10"/>
      <color theme="0"/>
      <name val="Calibri"/>
      <family val="2"/>
      <scheme val="minor"/>
    </font>
    <font>
      <b/>
      <sz val="10"/>
      <name val="Calibri Light"/>
      <family val="2"/>
      <scheme val="major"/>
    </font>
    <font>
      <sz val="10"/>
      <color rgb="FF000000"/>
      <name val="Calibri Light"/>
      <family val="2"/>
      <scheme val="major"/>
    </font>
    <font>
      <b/>
      <sz val="10"/>
      <color rgb="FFBF9000"/>
      <name val="Calibri Light"/>
      <family val="2"/>
      <scheme val="major"/>
    </font>
    <font>
      <b/>
      <sz val="8"/>
      <color rgb="FFFFFFFF"/>
      <name val="Segoe UI"/>
    </font>
    <font>
      <sz val="8"/>
      <color rgb="FF242424"/>
      <name val="Segoe UI"/>
    </font>
    <font>
      <sz val="12"/>
      <color rgb="FF000000"/>
      <name val="Aptos"/>
    </font>
    <font>
      <sz val="9"/>
      <color rgb="FF000000"/>
      <name val="Segoe UI"/>
    </font>
    <font>
      <sz val="10"/>
      <color rgb="FF000000"/>
      <name val="Aptos"/>
      <family val="2"/>
    </font>
    <font>
      <u/>
      <sz val="10"/>
      <color theme="10"/>
      <name val="Calibri"/>
      <family val="2"/>
    </font>
    <font>
      <b/>
      <sz val="10"/>
      <color rgb="FF000000"/>
      <name val="Aptos"/>
      <family val="2"/>
    </font>
    <font>
      <u/>
      <sz val="10"/>
      <color theme="10"/>
      <name val="Aptos"/>
      <family val="2"/>
    </font>
    <font>
      <sz val="10"/>
      <color theme="1"/>
      <name val="Aptos"/>
      <family val="2"/>
    </font>
    <font>
      <b/>
      <sz val="10"/>
      <color theme="1"/>
      <name val="Calibri"/>
      <scheme val="minor"/>
    </font>
    <font>
      <b/>
      <sz val="10"/>
      <color rgb="FFFFFFFF"/>
      <name val="Calibri"/>
      <scheme val="minor"/>
    </font>
    <font>
      <b/>
      <sz val="10"/>
      <color rgb="FF000000"/>
      <name val="Calibri"/>
      <scheme val="minor"/>
    </font>
    <font>
      <sz val="10"/>
      <color rgb="FF000000"/>
      <name val="Calibri"/>
      <scheme val="minor"/>
    </font>
    <font>
      <sz val="10"/>
      <color theme="1"/>
      <name val="Calibri"/>
      <scheme val="minor"/>
    </font>
    <font>
      <sz val="10"/>
      <color theme="0"/>
      <name val="Calibri"/>
      <scheme val="minor"/>
    </font>
    <font>
      <b/>
      <sz val="10"/>
      <color rgb="FF363636"/>
      <name val="Calibri"/>
      <scheme val="minor"/>
    </font>
    <font>
      <sz val="10"/>
      <color rgb="FFBF9000"/>
      <name val="Calibri"/>
      <scheme val="minor"/>
    </font>
    <font>
      <sz val="9"/>
      <color theme="1"/>
      <name val="Segoe UI"/>
    </font>
    <font>
      <u/>
      <sz val="11"/>
      <color theme="10"/>
      <name val="Calibri"/>
      <scheme val="minor"/>
    </font>
    <font>
      <b/>
      <sz val="11"/>
      <color theme="1"/>
      <name val="Calibri"/>
      <scheme val="minor"/>
    </font>
    <font>
      <b/>
      <sz val="10"/>
      <color theme="0"/>
      <name val="Calibri"/>
      <scheme val="minor"/>
    </font>
    <font>
      <sz val="10"/>
      <name val="Calibri"/>
      <scheme val="minor"/>
    </font>
    <font>
      <sz val="10"/>
      <name val="Calibri"/>
      <family val="2"/>
      <scheme val="minor"/>
    </font>
    <font>
      <b/>
      <sz val="10"/>
      <color theme="1"/>
      <name val="Calibri Light"/>
      <family val="2"/>
    </font>
    <font>
      <b/>
      <sz val="10"/>
      <color rgb="FFBF9000"/>
      <name val="Calibri Light"/>
      <family val="2"/>
    </font>
  </fonts>
  <fills count="61">
    <fill>
      <patternFill patternType="none"/>
    </fill>
    <fill>
      <patternFill patternType="gray125"/>
    </fill>
    <fill>
      <patternFill patternType="solid">
        <fgColor theme="1"/>
        <bgColor indexed="64"/>
      </patternFill>
    </fill>
    <fill>
      <patternFill patternType="solid">
        <fgColor theme="3" tint="0.79998168889431442"/>
        <bgColor indexed="64"/>
      </patternFill>
    </fill>
    <fill>
      <patternFill patternType="solid">
        <fgColor rgb="FF0D4780"/>
        <bgColor indexed="64"/>
      </patternFill>
    </fill>
    <fill>
      <patternFill patternType="solid">
        <fgColor rgb="FFE7E9ED"/>
        <bgColor indexed="64"/>
      </patternFill>
    </fill>
    <fill>
      <patternFill patternType="solid">
        <fgColor rgb="FF7030A0"/>
        <bgColor indexed="64"/>
      </patternFill>
    </fill>
    <fill>
      <patternFill patternType="solid">
        <fgColor theme="5" tint="-0.249977111117893"/>
        <bgColor indexed="64"/>
      </patternFill>
    </fill>
    <fill>
      <patternFill patternType="solid">
        <fgColor rgb="FF0070C0"/>
        <bgColor indexed="64"/>
      </patternFill>
    </fill>
    <fill>
      <patternFill patternType="solid">
        <fgColor rgb="FFFFFFFF"/>
        <bgColor indexed="64"/>
      </patternFill>
    </fill>
    <fill>
      <patternFill patternType="solid">
        <fgColor rgb="FF002060"/>
        <bgColor indexed="64"/>
      </patternFill>
    </fill>
    <fill>
      <patternFill patternType="solid">
        <fgColor rgb="FFFFFF00"/>
        <bgColor indexed="64"/>
      </patternFill>
    </fill>
    <fill>
      <patternFill patternType="solid">
        <fgColor theme="3"/>
        <bgColor indexed="64"/>
      </patternFill>
    </fill>
    <fill>
      <patternFill patternType="solid">
        <fgColor theme="5" tint="0.79998168889431442"/>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theme="2" tint="-0.249977111117893"/>
        <bgColor indexed="64"/>
      </patternFill>
    </fill>
    <fill>
      <patternFill patternType="solid">
        <fgColor rgb="FF002060"/>
        <bgColor rgb="FF000000"/>
      </patternFill>
    </fill>
    <fill>
      <patternFill patternType="solid">
        <fgColor theme="8" tint="0.59999389629810485"/>
        <bgColor indexed="64"/>
      </patternFill>
    </fill>
    <fill>
      <patternFill patternType="solid">
        <fgColor theme="7"/>
        <bgColor indexed="64"/>
      </patternFill>
    </fill>
    <fill>
      <patternFill patternType="solid">
        <fgColor rgb="FF7030A0"/>
        <bgColor rgb="FF000000"/>
      </patternFill>
    </fill>
    <fill>
      <patternFill patternType="solid">
        <fgColor rgb="FFBDD7EE"/>
        <bgColor rgb="FF000000"/>
      </patternFill>
    </fill>
    <fill>
      <patternFill patternType="solid">
        <fgColor rgb="FF0070C0"/>
        <bgColor rgb="FF000000"/>
      </patternFill>
    </fill>
    <fill>
      <patternFill patternType="lightDown">
        <fgColor rgb="FF000000"/>
      </patternFill>
    </fill>
    <fill>
      <patternFill patternType="solid">
        <fgColor rgb="FFD7BCED"/>
        <bgColor rgb="FF000000"/>
      </patternFill>
    </fill>
    <fill>
      <patternFill patternType="solid">
        <fgColor rgb="FFEBDDF7"/>
        <bgColor rgb="FF000000"/>
      </patternFill>
    </fill>
    <fill>
      <patternFill patternType="solid">
        <fgColor theme="0"/>
        <bgColor indexed="64"/>
      </patternFill>
    </fill>
    <fill>
      <patternFill patternType="solid">
        <fgColor rgb="FFFFFFFF"/>
        <bgColor rgb="FF000000"/>
      </patternFill>
    </fill>
    <fill>
      <patternFill patternType="solid">
        <fgColor rgb="FFE7E6E6"/>
        <bgColor indexed="64"/>
      </patternFill>
    </fill>
    <fill>
      <patternFill patternType="solid">
        <fgColor rgb="FFFFCCFF"/>
        <bgColor indexed="64"/>
      </patternFill>
    </fill>
    <fill>
      <patternFill patternType="solid">
        <fgColor rgb="FFDFE3E8"/>
        <bgColor indexed="64"/>
      </patternFill>
    </fill>
    <fill>
      <patternFill patternType="solid">
        <fgColor rgb="FFFFF200"/>
        <bgColor indexed="64"/>
      </patternFill>
    </fill>
    <fill>
      <patternFill patternType="solid">
        <fgColor rgb="FFE2EFDA"/>
        <bgColor rgb="FF000000"/>
      </patternFill>
    </fill>
    <fill>
      <patternFill patternType="solid">
        <fgColor rgb="FFD9D9D9"/>
        <bgColor rgb="FF000000"/>
      </patternFill>
    </fill>
    <fill>
      <patternFill patternType="solid">
        <fgColor rgb="FFD9E1F2"/>
        <bgColor rgb="FF000000"/>
      </patternFill>
    </fill>
    <fill>
      <patternFill patternType="solid">
        <fgColor rgb="FFFFFF00"/>
        <bgColor rgb="FF000000"/>
      </patternFill>
    </fill>
    <fill>
      <patternFill patternType="solid">
        <fgColor rgb="FF9CC3E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499984740745262"/>
        <bgColor indexed="64"/>
      </patternFill>
    </fill>
    <fill>
      <patternFill patternType="solid">
        <fgColor rgb="FFFAB9F1"/>
        <bgColor indexed="64"/>
      </patternFill>
    </fill>
    <fill>
      <patternFill patternType="solid">
        <fgColor theme="9" tint="0.39997558519241921"/>
        <bgColor indexed="64"/>
      </patternFill>
    </fill>
    <fill>
      <patternFill patternType="solid">
        <fgColor rgb="FF2F75B5"/>
        <bgColor rgb="FF000000"/>
      </patternFill>
    </fill>
    <fill>
      <patternFill patternType="solid">
        <fgColor rgb="FF0C882A"/>
        <bgColor rgb="FF000000"/>
      </patternFill>
    </fill>
    <fill>
      <patternFill patternType="solid">
        <fgColor theme="0"/>
        <bgColor rgb="FF000000"/>
      </patternFill>
    </fill>
    <fill>
      <patternFill patternType="solid">
        <fgColor rgb="FFD9AAFA"/>
        <bgColor indexed="64"/>
      </patternFill>
    </fill>
    <fill>
      <patternFill patternType="solid">
        <fgColor theme="1" tint="0.49998474074526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99CC"/>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9CC3E5"/>
        <bgColor rgb="FF000000"/>
      </patternFill>
    </fill>
    <fill>
      <patternFill patternType="solid">
        <fgColor rgb="FFDFE3E8"/>
        <bgColor rgb="FF000000"/>
      </patternFill>
    </fill>
    <fill>
      <patternFill patternType="solid">
        <fgColor rgb="FFFAB9F1"/>
        <bgColor rgb="FF000000"/>
      </patternFill>
    </fill>
    <fill>
      <patternFill patternType="solid">
        <fgColor rgb="FFD9AAFA"/>
        <bgColor rgb="FF000000"/>
      </patternFill>
    </fill>
    <fill>
      <patternFill patternType="solid">
        <fgColor rgb="FFA9D18E"/>
        <bgColor indexed="64"/>
      </patternFill>
    </fill>
    <fill>
      <patternFill patternType="solid">
        <fgColor theme="4"/>
        <bgColor indexed="64"/>
      </patternFill>
    </fill>
  </fills>
  <borders count="1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rgb="FFA3A3A3"/>
      </left>
      <right style="medium">
        <color rgb="FFA3A3A3"/>
      </right>
      <top style="medium">
        <color rgb="FFA3A3A3"/>
      </top>
      <bottom style="medium">
        <color rgb="FFA3A3A3"/>
      </bottom>
      <diagonal/>
    </border>
    <border>
      <left style="medium">
        <color rgb="FFA3A3A3"/>
      </left>
      <right style="medium">
        <color rgb="FFA3A3A3"/>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medium">
        <color rgb="FF000000"/>
      </bottom>
      <diagonal/>
    </border>
    <border>
      <left style="thin">
        <color indexed="64"/>
      </left>
      <right style="thin">
        <color indexed="64"/>
      </right>
      <top/>
      <bottom/>
      <diagonal/>
    </border>
    <border>
      <left style="thin">
        <color indexed="64"/>
      </left>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diagonal/>
    </border>
    <border>
      <left/>
      <right style="medium">
        <color indexed="64"/>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indexed="64"/>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rgb="FF000000"/>
      </right>
      <top style="thin">
        <color indexed="64"/>
      </top>
      <bottom style="thin">
        <color indexed="64"/>
      </bottom>
      <diagonal/>
    </border>
    <border>
      <left style="medium">
        <color indexed="64"/>
      </left>
      <right style="medium">
        <color indexed="64"/>
      </right>
      <top/>
      <bottom style="thin">
        <color rgb="FF000000"/>
      </bottom>
      <diagonal/>
    </border>
    <border>
      <left/>
      <right style="medium">
        <color indexed="64"/>
      </right>
      <top/>
      <bottom style="thin">
        <color indexed="64"/>
      </bottom>
      <diagonal/>
    </border>
    <border>
      <left/>
      <right style="medium">
        <color rgb="FF000000"/>
      </right>
      <top/>
      <bottom style="thin">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rgb="FF000000"/>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indexed="64"/>
      </right>
      <top style="medium">
        <color rgb="FF000000"/>
      </top>
      <bottom/>
      <diagonal/>
    </border>
    <border>
      <left style="medium">
        <color rgb="FF000000"/>
      </left>
      <right style="medium">
        <color rgb="FF000000"/>
      </right>
      <top style="thin">
        <color indexed="64"/>
      </top>
      <bottom/>
      <diagonal/>
    </border>
    <border>
      <left style="thin">
        <color indexed="64"/>
      </left>
      <right style="medium">
        <color rgb="FF000000"/>
      </right>
      <top style="thin">
        <color indexed="64"/>
      </top>
      <bottom style="thin">
        <color indexed="64"/>
      </bottom>
      <diagonal/>
    </border>
    <border>
      <left style="medium">
        <color rgb="FF000000"/>
      </left>
      <right style="medium">
        <color rgb="FF000000"/>
      </right>
      <top/>
      <bottom style="thin">
        <color indexed="64"/>
      </bottom>
      <diagonal/>
    </border>
    <border>
      <left style="medium">
        <color rgb="FF000000"/>
      </left>
      <right/>
      <top style="thin">
        <color indexed="64"/>
      </top>
      <bottom style="thin">
        <color indexed="64"/>
      </bottom>
      <diagonal/>
    </border>
    <border>
      <left/>
      <right style="medium">
        <color rgb="FF000000"/>
      </right>
      <top style="thin">
        <color rgb="FF000000"/>
      </top>
      <bottom style="thin">
        <color rgb="FF000000"/>
      </bottom>
      <diagonal/>
    </border>
    <border>
      <left style="medium">
        <color indexed="64"/>
      </left>
      <right style="medium">
        <color indexed="64"/>
      </right>
      <top style="medium">
        <color rgb="FF000000"/>
      </top>
      <bottom style="medium">
        <color indexed="64"/>
      </bottom>
      <diagonal/>
    </border>
    <border>
      <left/>
      <right/>
      <top style="thin">
        <color indexed="64"/>
      </top>
      <bottom style="medium">
        <color rgb="FF000000"/>
      </bottom>
      <diagonal/>
    </border>
    <border>
      <left style="medium">
        <color rgb="FF000000"/>
      </left>
      <right style="medium">
        <color rgb="FF000000"/>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diagonal/>
    </border>
    <border>
      <left/>
      <right/>
      <top/>
      <bottom style="medium">
        <color rgb="FF000000"/>
      </bottom>
      <diagonal/>
    </border>
    <border>
      <left style="thin">
        <color indexed="64"/>
      </left>
      <right style="thin">
        <color indexed="64"/>
      </right>
      <top style="medium">
        <color rgb="FF000000"/>
      </top>
      <bottom/>
      <diagonal/>
    </border>
    <border>
      <left/>
      <right/>
      <top style="medium">
        <color rgb="FF000000"/>
      </top>
      <bottom/>
      <diagonal/>
    </border>
    <border>
      <left/>
      <right style="medium">
        <color indexed="64"/>
      </right>
      <top style="thin">
        <color indexed="64"/>
      </top>
      <bottom/>
      <diagonal/>
    </border>
    <border>
      <left style="medium">
        <color indexed="64"/>
      </left>
      <right/>
      <top/>
      <bottom/>
      <diagonal/>
    </border>
    <border>
      <left style="thin">
        <color rgb="FFB1BBCC"/>
      </left>
      <right style="thin">
        <color rgb="FFB1BBCC"/>
      </right>
      <top style="thin">
        <color rgb="FFB1BBCC"/>
      </top>
      <bottom style="thin">
        <color rgb="FFB1BBCC"/>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style="medium">
        <color indexed="64"/>
      </left>
      <right style="thin">
        <color indexed="64"/>
      </right>
      <top/>
      <bottom/>
      <diagonal/>
    </border>
    <border>
      <left/>
      <right style="thin">
        <color theme="1"/>
      </right>
      <top style="thin">
        <color theme="1"/>
      </top>
      <bottom style="thin">
        <color theme="1"/>
      </bottom>
      <diagonal/>
    </border>
    <border>
      <left style="thin">
        <color rgb="FF000000"/>
      </left>
      <right/>
      <top/>
      <bottom/>
      <diagonal/>
    </border>
    <border>
      <left style="thin">
        <color theme="1"/>
      </left>
      <right style="thin">
        <color theme="1"/>
      </right>
      <top style="thin">
        <color theme="1"/>
      </top>
      <bottom/>
      <diagonal/>
    </border>
    <border>
      <left/>
      <right style="thin">
        <color rgb="FF000000"/>
      </right>
      <top/>
      <bottom/>
      <diagonal/>
    </border>
    <border>
      <left/>
      <right/>
      <top style="thin">
        <color rgb="FF000000"/>
      </top>
      <bottom/>
      <diagonal/>
    </border>
    <border>
      <left style="thin">
        <color rgb="FF000000"/>
      </left>
      <right style="thin">
        <color rgb="FF000000"/>
      </right>
      <top style="thin">
        <color rgb="FF000000"/>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1"/>
      </left>
      <right style="thin">
        <color theme="1"/>
      </right>
      <top/>
      <bottom style="thin">
        <color theme="1"/>
      </bottom>
      <diagonal/>
    </border>
    <border>
      <left style="medium">
        <color rgb="FF000000"/>
      </left>
      <right/>
      <top/>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rgb="FF000000"/>
      </top>
      <bottom/>
      <diagonal/>
    </border>
    <border>
      <left/>
      <right/>
      <top/>
      <bottom style="thin">
        <color rgb="FF000000"/>
      </bottom>
      <diagonal/>
    </border>
    <border>
      <left style="double">
        <color rgb="FF000000"/>
      </left>
      <right style="double">
        <color rgb="FF000000"/>
      </right>
      <top style="double">
        <color rgb="FF000000"/>
      </top>
      <bottom style="double">
        <color rgb="FF000000"/>
      </bottom>
      <diagonal/>
    </border>
    <border>
      <left style="double">
        <color rgb="FF000000"/>
      </left>
      <right style="double">
        <color rgb="FF000000"/>
      </right>
      <top style="double">
        <color rgb="FF000000"/>
      </top>
      <bottom/>
      <diagonal/>
    </border>
    <border>
      <left style="double">
        <color indexed="64"/>
      </left>
      <right style="double">
        <color indexed="64"/>
      </right>
      <top style="double">
        <color indexed="64"/>
      </top>
      <bottom/>
      <diagonal/>
    </border>
    <border>
      <left style="double">
        <color indexed="64"/>
      </left>
      <right/>
      <top style="double">
        <color indexed="64"/>
      </top>
      <bottom style="double">
        <color indexed="64"/>
      </bottom>
      <diagonal/>
    </border>
    <border>
      <left style="medium">
        <color rgb="FFA3A3A3"/>
      </left>
      <right style="medium">
        <color rgb="FFA3A3A3"/>
      </right>
      <top style="medium">
        <color rgb="FFA3A3A3"/>
      </top>
      <bottom/>
      <diagonal/>
    </border>
    <border>
      <left style="medium">
        <color rgb="FFA3A3A3"/>
      </left>
      <right style="medium">
        <color rgb="FFA3A3A3"/>
      </right>
      <top/>
      <bottom style="medium">
        <color rgb="FFA3A3A3"/>
      </bottom>
      <diagonal/>
    </border>
  </borders>
  <cellStyleXfs count="2">
    <xf numFmtId="0" fontId="0" fillId="0" borderId="0"/>
    <xf numFmtId="0" fontId="5" fillId="0" borderId="0" applyNumberFormat="0" applyFill="0" applyBorder="0" applyAlignment="0" applyProtection="0"/>
  </cellStyleXfs>
  <cellXfs count="865">
    <xf numFmtId="0" fontId="0" fillId="0" borderId="0" xfId="0"/>
    <xf numFmtId="0" fontId="0" fillId="0" borderId="2" xfId="0" applyBorder="1"/>
    <xf numFmtId="0" fontId="5" fillId="0" borderId="2" xfId="1" applyBorder="1"/>
    <xf numFmtId="0" fontId="7" fillId="4"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5" borderId="3" xfId="0" applyFont="1" applyFill="1" applyBorder="1" applyAlignment="1">
      <alignment vertical="center" wrapText="1"/>
    </xf>
    <xf numFmtId="0" fontId="5" fillId="0" borderId="0" xfId="1" quotePrefix="1"/>
    <xf numFmtId="0" fontId="5" fillId="5" borderId="3" xfId="1" applyFill="1" applyBorder="1" applyAlignment="1">
      <alignment horizontal="center" vertical="center" wrapText="1"/>
    </xf>
    <xf numFmtId="0" fontId="8" fillId="5" borderId="4" xfId="0" applyFont="1" applyFill="1" applyBorder="1" applyAlignment="1">
      <alignment horizontal="center" vertical="center" wrapText="1"/>
    </xf>
    <xf numFmtId="0" fontId="9" fillId="5" borderId="4" xfId="0" applyFont="1" applyFill="1" applyBorder="1" applyAlignment="1">
      <alignment vertical="center" wrapText="1"/>
    </xf>
    <xf numFmtId="0" fontId="5" fillId="0" borderId="10" xfId="1" applyBorder="1" applyAlignment="1">
      <alignment vertical="center" wrapText="1"/>
    </xf>
    <xf numFmtId="0" fontId="11" fillId="0" borderId="0" xfId="0" applyFont="1" applyAlignment="1">
      <alignment horizontal="left" vertical="top" wrapText="1"/>
    </xf>
    <xf numFmtId="0" fontId="11" fillId="0" borderId="0" xfId="0" applyFont="1" applyAlignment="1">
      <alignment horizontal="center" wrapText="1"/>
    </xf>
    <xf numFmtId="0" fontId="5" fillId="0" borderId="10" xfId="1" applyBorder="1" applyAlignment="1">
      <alignment horizontal="left" vertical="center" wrapText="1"/>
    </xf>
    <xf numFmtId="0" fontId="11" fillId="0" borderId="0" xfId="0" applyFont="1" applyAlignment="1">
      <alignment horizontal="left" vertical="top"/>
    </xf>
    <xf numFmtId="0" fontId="11"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wrapText="1"/>
    </xf>
    <xf numFmtId="0" fontId="15" fillId="0" borderId="0" xfId="0" applyFont="1" applyAlignment="1">
      <alignment horizontal="left" vertical="top" wrapText="1"/>
    </xf>
    <xf numFmtId="0" fontId="16" fillId="11" borderId="2" xfId="0" applyFont="1" applyFill="1" applyBorder="1"/>
    <xf numFmtId="0" fontId="0" fillId="11" borderId="2" xfId="0" applyFill="1" applyBorder="1"/>
    <xf numFmtId="0" fontId="0" fillId="11" borderId="2" xfId="0" applyFill="1" applyBorder="1" applyAlignment="1">
      <alignment horizontal="left"/>
    </xf>
    <xf numFmtId="0" fontId="17" fillId="12" borderId="2" xfId="0" applyFont="1" applyFill="1" applyBorder="1" applyAlignment="1">
      <alignment horizontal="center"/>
    </xf>
    <xf numFmtId="0" fontId="0" fillId="0" borderId="2" xfId="0" applyBorder="1" applyAlignment="1">
      <alignment horizontal="center" vertical="center"/>
    </xf>
    <xf numFmtId="1" fontId="0" fillId="0" borderId="2" xfId="0" applyNumberFormat="1" applyBorder="1" applyAlignment="1">
      <alignment horizontal="center" vertical="center"/>
    </xf>
    <xf numFmtId="1" fontId="0" fillId="13" borderId="2" xfId="0" applyNumberFormat="1" applyFill="1" applyBorder="1" applyAlignment="1">
      <alignment horizontal="center" vertical="center"/>
    </xf>
    <xf numFmtId="0" fontId="18" fillId="0" borderId="2" xfId="0" applyFont="1" applyBorder="1" applyAlignment="1">
      <alignment horizontal="center" wrapText="1"/>
    </xf>
    <xf numFmtId="0" fontId="0" fillId="0" borderId="2" xfId="0" applyBorder="1" applyAlignment="1">
      <alignment horizontal="left"/>
    </xf>
    <xf numFmtId="0" fontId="0" fillId="0" borderId="7" xfId="0" applyBorder="1" applyAlignment="1">
      <alignment horizontal="center" vertical="center"/>
    </xf>
    <xf numFmtId="0" fontId="18" fillId="0" borderId="0" xfId="0" applyFont="1" applyAlignment="1">
      <alignment horizontal="center" wrapText="1"/>
    </xf>
    <xf numFmtId="0" fontId="0" fillId="0" borderId="0" xfId="0" applyAlignment="1">
      <alignment horizontal="left"/>
    </xf>
    <xf numFmtId="0" fontId="17" fillId="12" borderId="14" xfId="0" applyFont="1" applyFill="1" applyBorder="1" applyAlignment="1">
      <alignment horizontal="center"/>
    </xf>
    <xf numFmtId="0" fontId="17" fillId="12" borderId="0" xfId="0" applyFont="1" applyFill="1" applyAlignment="1">
      <alignment horizontal="center"/>
    </xf>
    <xf numFmtId="1" fontId="0" fillId="0" borderId="2" xfId="0" applyNumberFormat="1" applyBorder="1" applyAlignment="1">
      <alignment horizontal="center"/>
    </xf>
    <xf numFmtId="1" fontId="0" fillId="0" borderId="11" xfId="0" applyNumberFormat="1" applyBorder="1" applyAlignment="1">
      <alignment horizontal="center"/>
    </xf>
    <xf numFmtId="1" fontId="0" fillId="0" borderId="0" xfId="0" applyNumberFormat="1" applyAlignment="1">
      <alignment horizontal="center"/>
    </xf>
    <xf numFmtId="0" fontId="17" fillId="12" borderId="19" xfId="0" applyFont="1" applyFill="1" applyBorder="1" applyAlignment="1">
      <alignment horizontal="center"/>
    </xf>
    <xf numFmtId="0" fontId="17" fillId="12" borderId="20" xfId="0" applyFont="1" applyFill="1" applyBorder="1" applyAlignment="1">
      <alignment horizontal="center"/>
    </xf>
    <xf numFmtId="0" fontId="0" fillId="0" borderId="21" xfId="0" applyBorder="1" applyAlignment="1">
      <alignment horizontal="center" vertical="center"/>
    </xf>
    <xf numFmtId="0" fontId="18" fillId="0" borderId="11" xfId="0" applyFont="1" applyBorder="1" applyAlignment="1">
      <alignment horizontal="center" wrapText="1"/>
    </xf>
    <xf numFmtId="0" fontId="16" fillId="11" borderId="12" xfId="0" applyFont="1" applyFill="1" applyBorder="1"/>
    <xf numFmtId="0" fontId="0" fillId="11" borderId="23" xfId="0" applyFill="1" applyBorder="1"/>
    <xf numFmtId="0" fontId="0" fillId="11" borderId="23" xfId="0" applyFill="1" applyBorder="1" applyAlignment="1">
      <alignment horizontal="left"/>
    </xf>
    <xf numFmtId="0" fontId="0" fillId="11" borderId="11" xfId="0" applyFill="1" applyBorder="1"/>
    <xf numFmtId="1" fontId="0" fillId="13" borderId="2" xfId="0" applyNumberFormat="1" applyFill="1" applyBorder="1"/>
    <xf numFmtId="0" fontId="0" fillId="0" borderId="24" xfId="0" applyBorder="1" applyAlignment="1">
      <alignment horizontal="left"/>
    </xf>
    <xf numFmtId="0" fontId="2" fillId="12" borderId="14" xfId="0" applyFont="1" applyFill="1" applyBorder="1" applyAlignment="1">
      <alignment horizontal="center"/>
    </xf>
    <xf numFmtId="0" fontId="2" fillId="12" borderId="2" xfId="0" applyFont="1" applyFill="1" applyBorder="1" applyAlignment="1">
      <alignment horizontal="center"/>
    </xf>
    <xf numFmtId="1" fontId="0" fillId="0" borderId="2" xfId="0" applyNumberFormat="1" applyBorder="1"/>
    <xf numFmtId="1" fontId="0" fillId="0" borderId="0" xfId="0" applyNumberFormat="1"/>
    <xf numFmtId="0" fontId="16" fillId="11" borderId="25" xfId="0" applyFont="1" applyFill="1" applyBorder="1"/>
    <xf numFmtId="0" fontId="0" fillId="11" borderId="26" xfId="0" applyFill="1" applyBorder="1"/>
    <xf numFmtId="0" fontId="0" fillId="11" borderId="26" xfId="0" applyFill="1" applyBorder="1" applyAlignment="1">
      <alignment horizontal="left"/>
    </xf>
    <xf numFmtId="0" fontId="0" fillId="0" borderId="10" xfId="0" applyBorder="1"/>
    <xf numFmtId="0" fontId="17" fillId="12" borderId="10" xfId="0" applyFont="1" applyFill="1" applyBorder="1" applyAlignment="1">
      <alignment horizontal="center"/>
    </xf>
    <xf numFmtId="0" fontId="0" fillId="0" borderId="0" xfId="0" applyAlignment="1">
      <alignment horizontal="center" vertical="center"/>
    </xf>
    <xf numFmtId="0" fontId="0" fillId="0" borderId="0" xfId="0" applyAlignment="1">
      <alignment horizontal="center"/>
    </xf>
    <xf numFmtId="0" fontId="5" fillId="0" borderId="5" xfId="1" applyBorder="1" applyAlignment="1">
      <alignment horizontal="left" vertical="center" wrapText="1"/>
    </xf>
    <xf numFmtId="0" fontId="10" fillId="8" borderId="2" xfId="0" applyFont="1" applyFill="1" applyBorder="1" applyAlignment="1">
      <alignment horizontal="center" vertical="center" wrapText="1"/>
    </xf>
    <xf numFmtId="0" fontId="5" fillId="0" borderId="0" xfId="1"/>
    <xf numFmtId="0" fontId="0" fillId="0" borderId="0" xfId="0" applyAlignment="1">
      <alignment horizontal="left" vertical="center" wrapText="1"/>
    </xf>
    <xf numFmtId="0" fontId="3" fillId="11" borderId="7" xfId="0" applyFont="1" applyFill="1" applyBorder="1" applyAlignment="1">
      <alignment horizontal="center" vertical="center"/>
    </xf>
    <xf numFmtId="17" fontId="3" fillId="11" borderId="7" xfId="0" applyNumberFormat="1" applyFont="1" applyFill="1" applyBorder="1" applyAlignment="1">
      <alignment horizontal="center" vertical="center"/>
    </xf>
    <xf numFmtId="0" fontId="0" fillId="0" borderId="31" xfId="0" applyBorder="1" applyAlignment="1">
      <alignment horizontal="center" vertical="center"/>
    </xf>
    <xf numFmtId="0" fontId="0" fillId="0" borderId="14" xfId="0" applyBorder="1" applyAlignment="1">
      <alignment horizontal="left" vertical="center"/>
    </xf>
    <xf numFmtId="0" fontId="0" fillId="0" borderId="2" xfId="0" applyBorder="1" applyAlignment="1">
      <alignment horizontal="left" vertical="center"/>
    </xf>
    <xf numFmtId="0" fontId="0" fillId="0" borderId="35" xfId="0" applyBorder="1"/>
    <xf numFmtId="0" fontId="0" fillId="15" borderId="0" xfId="0" applyFill="1" applyAlignment="1">
      <alignment horizontal="center" vertical="center"/>
    </xf>
    <xf numFmtId="0" fontId="0" fillId="0" borderId="38" xfId="0" applyBorder="1" applyAlignment="1">
      <alignment horizontal="center" vertical="center"/>
    </xf>
    <xf numFmtId="0" fontId="0" fillId="0" borderId="39" xfId="0" applyBorder="1"/>
    <xf numFmtId="0" fontId="3" fillId="0" borderId="2" xfId="0" applyFont="1" applyBorder="1" applyAlignment="1">
      <alignment horizontal="left" vertical="center"/>
    </xf>
    <xf numFmtId="0" fontId="3" fillId="0" borderId="2" xfId="0" applyFont="1" applyBorder="1"/>
    <xf numFmtId="0" fontId="3" fillId="0" borderId="0" xfId="0" applyFont="1"/>
    <xf numFmtId="0" fontId="3" fillId="0" borderId="39" xfId="0" applyFont="1" applyBorder="1"/>
    <xf numFmtId="0" fontId="11" fillId="0" borderId="2" xfId="0" applyFont="1" applyBorder="1" applyAlignment="1">
      <alignment horizontal="center" vertical="center"/>
    </xf>
    <xf numFmtId="0" fontId="3" fillId="0" borderId="35" xfId="0" applyFont="1" applyBorder="1"/>
    <xf numFmtId="0" fontId="0" fillId="0" borderId="7" xfId="0" applyBorder="1"/>
    <xf numFmtId="0" fontId="0" fillId="0" borderId="0" xfId="0" applyAlignment="1">
      <alignment horizontal="left" vertical="center"/>
    </xf>
    <xf numFmtId="0" fontId="0" fillId="0" borderId="44" xfId="0" applyBorder="1" applyAlignment="1">
      <alignment horizontal="center" vertical="center"/>
    </xf>
    <xf numFmtId="0" fontId="0" fillId="0" borderId="45" xfId="0" applyBorder="1"/>
    <xf numFmtId="17" fontId="0" fillId="0" borderId="46" xfId="0" applyNumberFormat="1" applyBorder="1" applyAlignment="1">
      <alignment horizontal="center" vertical="center"/>
    </xf>
    <xf numFmtId="0" fontId="3" fillId="18" borderId="0" xfId="0" applyFont="1" applyFill="1"/>
    <xf numFmtId="0" fontId="0" fillId="18" borderId="0" xfId="0" applyFill="1"/>
    <xf numFmtId="0" fontId="22" fillId="19" borderId="2" xfId="0" applyFont="1" applyFill="1" applyBorder="1" applyAlignment="1">
      <alignment horizontal="center" vertical="center"/>
    </xf>
    <xf numFmtId="0" fontId="2" fillId="6" borderId="48" xfId="0" applyFont="1" applyFill="1" applyBorder="1" applyAlignment="1">
      <alignment horizontal="center" vertical="center"/>
    </xf>
    <xf numFmtId="0" fontId="2" fillId="6" borderId="49" xfId="0" applyFont="1" applyFill="1" applyBorder="1" applyAlignment="1">
      <alignment horizontal="center" vertical="center"/>
    </xf>
    <xf numFmtId="0" fontId="2" fillId="6" borderId="50" xfId="0" applyFont="1" applyFill="1" applyBorder="1" applyAlignment="1">
      <alignment horizontal="center" vertical="center"/>
    </xf>
    <xf numFmtId="0" fontId="2" fillId="6" borderId="51" xfId="0" applyFont="1" applyFill="1" applyBorder="1" applyAlignment="1">
      <alignment horizontal="center" vertical="center"/>
    </xf>
    <xf numFmtId="0" fontId="13" fillId="0" borderId="2" xfId="0" applyFont="1" applyBorder="1"/>
    <xf numFmtId="0" fontId="13" fillId="0" borderId="2" xfId="0" applyFont="1" applyBorder="1" applyAlignment="1">
      <alignment horizontal="center"/>
    </xf>
    <xf numFmtId="0" fontId="13" fillId="0" borderId="2" xfId="0" applyFont="1" applyBorder="1" applyAlignment="1">
      <alignment horizontal="center" vertical="center"/>
    </xf>
    <xf numFmtId="0" fontId="26" fillId="0" borderId="44" xfId="0" applyFont="1" applyBorder="1" applyAlignment="1">
      <alignment horizontal="center" vertical="center"/>
    </xf>
    <xf numFmtId="0" fontId="13" fillId="0" borderId="14" xfId="0" applyFont="1" applyBorder="1"/>
    <xf numFmtId="0" fontId="13" fillId="0" borderId="0" xfId="0" applyFont="1"/>
    <xf numFmtId="0" fontId="27" fillId="19" borderId="7" xfId="0" applyFont="1" applyFill="1" applyBorder="1" applyAlignment="1">
      <alignment horizontal="center"/>
    </xf>
    <xf numFmtId="0" fontId="28" fillId="19" borderId="2" xfId="0" applyFont="1" applyFill="1" applyBorder="1" applyAlignment="1">
      <alignment horizontal="center" vertical="center"/>
    </xf>
    <xf numFmtId="0" fontId="26" fillId="0" borderId="36" xfId="0" applyFont="1" applyBorder="1" applyAlignment="1">
      <alignment horizontal="center" vertical="center"/>
    </xf>
    <xf numFmtId="14" fontId="13" fillId="0" borderId="2" xfId="0" applyNumberFormat="1" applyFont="1" applyBorder="1" applyAlignment="1">
      <alignment horizontal="center" vertical="center"/>
    </xf>
    <xf numFmtId="0" fontId="22" fillId="22" borderId="57" xfId="0" applyFont="1" applyFill="1" applyBorder="1"/>
    <xf numFmtId="0" fontId="22" fillId="22" borderId="58" xfId="0" applyFont="1" applyFill="1" applyBorder="1"/>
    <xf numFmtId="0" fontId="22" fillId="22" borderId="59" xfId="0" applyFont="1" applyFill="1" applyBorder="1"/>
    <xf numFmtId="0" fontId="22" fillId="22" borderId="60" xfId="0" applyFont="1" applyFill="1" applyBorder="1"/>
    <xf numFmtId="0" fontId="29" fillId="23" borderId="52" xfId="0" applyFont="1" applyFill="1" applyBorder="1"/>
    <xf numFmtId="0" fontId="31" fillId="0" borderId="62" xfId="0" applyFont="1" applyBorder="1" applyAlignment="1">
      <alignment horizontal="center" vertical="center"/>
    </xf>
    <xf numFmtId="0" fontId="32" fillId="24" borderId="44" xfId="0" applyFont="1" applyFill="1" applyBorder="1" applyAlignment="1">
      <alignment horizontal="center" vertical="center"/>
    </xf>
    <xf numFmtId="0" fontId="30" fillId="0" borderId="63" xfId="0" applyFont="1" applyBorder="1" applyAlignment="1">
      <alignment horizontal="center" vertical="center"/>
    </xf>
    <xf numFmtId="0" fontId="29" fillId="23" borderId="55" xfId="0" applyFont="1" applyFill="1" applyBorder="1"/>
    <xf numFmtId="0" fontId="31" fillId="0" borderId="65" xfId="0" applyFont="1" applyBorder="1" applyAlignment="1">
      <alignment horizontal="center" vertical="center"/>
    </xf>
    <xf numFmtId="0" fontId="30" fillId="0" borderId="66" xfId="0" applyFont="1" applyBorder="1" applyAlignment="1">
      <alignment horizontal="center" vertical="center"/>
    </xf>
    <xf numFmtId="0" fontId="29" fillId="23" borderId="67" xfId="0" applyFont="1" applyFill="1" applyBorder="1"/>
    <xf numFmtId="0" fontId="30" fillId="0" borderId="13" xfId="0" applyFont="1" applyBorder="1"/>
    <xf numFmtId="0" fontId="31" fillId="0" borderId="68" xfId="0" applyFont="1" applyBorder="1" applyAlignment="1">
      <alignment horizontal="center" vertical="center"/>
    </xf>
    <xf numFmtId="0" fontId="32" fillId="19" borderId="44" xfId="0" applyFont="1" applyFill="1" applyBorder="1" applyAlignment="1">
      <alignment horizontal="center" vertical="center"/>
    </xf>
    <xf numFmtId="0" fontId="33" fillId="0" borderId="66" xfId="0" applyFont="1" applyBorder="1" applyAlignment="1">
      <alignment horizontal="center" vertical="center"/>
    </xf>
    <xf numFmtId="0" fontId="30" fillId="0" borderId="71" xfId="0" applyFont="1" applyBorder="1" applyAlignment="1">
      <alignment horizontal="center" vertical="center"/>
    </xf>
    <xf numFmtId="0" fontId="31" fillId="0" borderId="74" xfId="0" applyFont="1" applyBorder="1" applyAlignment="1">
      <alignment horizontal="center" vertical="center"/>
    </xf>
    <xf numFmtId="0" fontId="31" fillId="0" borderId="75" xfId="0" applyFont="1" applyBorder="1" applyAlignment="1">
      <alignment horizontal="center" vertical="center"/>
    </xf>
    <xf numFmtId="0" fontId="30" fillId="0" borderId="18" xfId="0" applyFont="1" applyBorder="1" applyAlignment="1">
      <alignment horizontal="center" vertical="center"/>
    </xf>
    <xf numFmtId="0" fontId="22" fillId="22" borderId="48" xfId="0" applyFont="1" applyFill="1" applyBorder="1"/>
    <xf numFmtId="0" fontId="22" fillId="22" borderId="76" xfId="0" applyFont="1" applyFill="1" applyBorder="1"/>
    <xf numFmtId="0" fontId="22" fillId="22" borderId="77" xfId="0" applyFont="1" applyFill="1" applyBorder="1"/>
    <xf numFmtId="0" fontId="29" fillId="23" borderId="52" xfId="0" applyFont="1" applyFill="1" applyBorder="1" applyAlignment="1">
      <alignment horizontal="center" vertical="center"/>
    </xf>
    <xf numFmtId="0" fontId="34" fillId="0" borderId="61" xfId="0" applyFont="1" applyBorder="1"/>
    <xf numFmtId="0" fontId="31" fillId="0" borderId="53" xfId="0" applyFont="1" applyBorder="1" applyAlignment="1">
      <alignment horizontal="center" vertical="center"/>
    </xf>
    <xf numFmtId="0" fontId="35" fillId="0" borderId="78" xfId="0" applyFont="1" applyBorder="1" applyAlignment="1">
      <alignment horizontal="center" vertical="top"/>
    </xf>
    <xf numFmtId="0" fontId="35" fillId="0" borderId="53" xfId="0" applyFont="1" applyBorder="1" applyAlignment="1">
      <alignment horizontal="center" vertical="top"/>
    </xf>
    <xf numFmtId="0" fontId="35" fillId="0" borderId="79" xfId="0" applyFont="1" applyBorder="1" applyAlignment="1">
      <alignment horizontal="center" vertical="top"/>
    </xf>
    <xf numFmtId="0" fontId="30" fillId="0" borderId="62" xfId="0" applyFont="1" applyBorder="1" applyAlignment="1">
      <alignment horizontal="center" vertical="center"/>
    </xf>
    <xf numFmtId="0" fontId="29" fillId="23" borderId="55" xfId="0" applyFont="1" applyFill="1" applyBorder="1" applyAlignment="1">
      <alignment horizontal="center" vertical="center"/>
    </xf>
    <xf numFmtId="0" fontId="3" fillId="0" borderId="53" xfId="0" applyFont="1" applyBorder="1"/>
    <xf numFmtId="0" fontId="35" fillId="0" borderId="80" xfId="0" applyFont="1" applyBorder="1" applyAlignment="1">
      <alignment horizontal="center" vertical="top"/>
    </xf>
    <xf numFmtId="0" fontId="30" fillId="0" borderId="65" xfId="0" applyFont="1" applyBorder="1" applyAlignment="1">
      <alignment horizontal="center" vertical="center" wrapText="1"/>
    </xf>
    <xf numFmtId="0" fontId="30" fillId="0" borderId="65" xfId="0" applyFont="1" applyBorder="1" applyAlignment="1">
      <alignment horizontal="left" vertical="center"/>
    </xf>
    <xf numFmtId="0" fontId="3" fillId="0" borderId="53" xfId="0" applyFont="1" applyBorder="1" applyAlignment="1">
      <alignment vertical="center"/>
    </xf>
    <xf numFmtId="0" fontId="36" fillId="25" borderId="2" xfId="0" applyFont="1" applyFill="1" applyBorder="1" applyAlignment="1">
      <alignment wrapText="1"/>
    </xf>
    <xf numFmtId="0" fontId="31" fillId="0" borderId="1" xfId="0" applyFont="1" applyBorder="1" applyAlignment="1">
      <alignment horizontal="center" vertical="center"/>
    </xf>
    <xf numFmtId="0" fontId="30" fillId="0" borderId="65" xfId="0" applyFont="1" applyBorder="1" applyAlignment="1">
      <alignment horizontal="center" vertical="center"/>
    </xf>
    <xf numFmtId="0" fontId="3" fillId="0" borderId="56" xfId="0" applyFont="1" applyBorder="1" applyAlignment="1">
      <alignment horizontal="left" vertical="top"/>
    </xf>
    <xf numFmtId="0" fontId="36" fillId="25" borderId="1" xfId="0" applyFont="1" applyFill="1" applyBorder="1" applyAlignment="1">
      <alignment wrapText="1"/>
    </xf>
    <xf numFmtId="0" fontId="3" fillId="0" borderId="56" xfId="0" applyFont="1" applyBorder="1" applyAlignment="1">
      <alignment vertical="center"/>
    </xf>
    <xf numFmtId="0" fontId="31" fillId="0" borderId="55" xfId="0" applyFont="1" applyBorder="1" applyAlignment="1">
      <alignment horizontal="center" vertical="center"/>
    </xf>
    <xf numFmtId="0" fontId="30" fillId="0" borderId="81" xfId="0" applyFont="1" applyBorder="1" applyAlignment="1">
      <alignment horizontal="left" vertical="center"/>
    </xf>
    <xf numFmtId="0" fontId="2" fillId="6" borderId="82" xfId="0" applyFont="1" applyFill="1" applyBorder="1" applyAlignment="1">
      <alignment horizontal="center" vertical="center"/>
    </xf>
    <xf numFmtId="0" fontId="2" fillId="6" borderId="83" xfId="0" applyFont="1" applyFill="1" applyBorder="1" applyAlignment="1">
      <alignment horizontal="center" vertical="center"/>
    </xf>
    <xf numFmtId="0" fontId="2" fillId="6" borderId="84" xfId="0" applyFont="1" applyFill="1" applyBorder="1" applyAlignment="1">
      <alignment horizontal="center" vertical="center"/>
    </xf>
    <xf numFmtId="0" fontId="2" fillId="6" borderId="59" xfId="0" applyFont="1" applyFill="1" applyBorder="1" applyAlignment="1">
      <alignment horizontal="center" vertical="center"/>
    </xf>
    <xf numFmtId="0" fontId="2" fillId="6" borderId="85" xfId="0" applyFont="1" applyFill="1" applyBorder="1" applyAlignment="1">
      <alignment horizontal="center" vertical="center"/>
    </xf>
    <xf numFmtId="0" fontId="2" fillId="6" borderId="86" xfId="0" applyFont="1" applyFill="1" applyBorder="1" applyAlignment="1">
      <alignment horizontal="center" vertical="center"/>
    </xf>
    <xf numFmtId="0" fontId="2" fillId="6" borderId="60" xfId="0" applyFont="1" applyFill="1" applyBorder="1" applyAlignment="1">
      <alignment horizontal="center" vertical="center"/>
    </xf>
    <xf numFmtId="0" fontId="23" fillId="20" borderId="82" xfId="0" applyFont="1" applyFill="1" applyBorder="1" applyAlignment="1">
      <alignment horizontal="center" vertical="center"/>
    </xf>
    <xf numFmtId="0" fontId="36" fillId="25" borderId="79" xfId="0" applyFont="1" applyFill="1" applyBorder="1" applyAlignment="1">
      <alignment wrapText="1"/>
    </xf>
    <xf numFmtId="0" fontId="24" fillId="0" borderId="63" xfId="0" applyFont="1" applyBorder="1" applyAlignment="1">
      <alignment horizontal="center" vertical="center"/>
    </xf>
    <xf numFmtId="0" fontId="36" fillId="25" borderId="66" xfId="0" applyFont="1" applyFill="1" applyBorder="1" applyAlignment="1">
      <alignment wrapText="1"/>
    </xf>
    <xf numFmtId="0" fontId="0" fillId="0" borderId="88" xfId="0" applyBorder="1"/>
    <xf numFmtId="0" fontId="36" fillId="25" borderId="89" xfId="0" applyFont="1" applyFill="1" applyBorder="1" applyAlignment="1">
      <alignment wrapText="1"/>
    </xf>
    <xf numFmtId="0" fontId="0" fillId="0" borderId="90" xfId="0" applyBorder="1" applyAlignment="1">
      <alignment horizontal="left" vertical="center"/>
    </xf>
    <xf numFmtId="0" fontId="36" fillId="25" borderId="80" xfId="0" applyFont="1" applyFill="1" applyBorder="1" applyAlignment="1">
      <alignment wrapText="1"/>
    </xf>
    <xf numFmtId="0" fontId="36" fillId="25" borderId="63" xfId="0" applyFont="1" applyFill="1" applyBorder="1" applyAlignment="1">
      <alignment wrapText="1"/>
    </xf>
    <xf numFmtId="0" fontId="24" fillId="0" borderId="80" xfId="0" applyFont="1" applyBorder="1" applyAlignment="1">
      <alignment horizontal="center" vertical="center"/>
    </xf>
    <xf numFmtId="0" fontId="26" fillId="0" borderId="88" xfId="0" applyFont="1" applyBorder="1" applyAlignment="1">
      <alignment horizontal="left" vertical="top"/>
    </xf>
    <xf numFmtId="0" fontId="24" fillId="0" borderId="63" xfId="0" applyFont="1" applyBorder="1" applyAlignment="1">
      <alignment horizontal="center" vertical="center" wrapText="1"/>
    </xf>
    <xf numFmtId="0" fontId="0" fillId="0" borderId="91" xfId="0" applyBorder="1" applyAlignment="1">
      <alignment horizontal="left" vertical="center"/>
    </xf>
    <xf numFmtId="0" fontId="23" fillId="20" borderId="92" xfId="0" applyFont="1" applyFill="1" applyBorder="1" applyAlignment="1">
      <alignment horizontal="center" vertical="center"/>
    </xf>
    <xf numFmtId="0" fontId="0" fillId="0" borderId="93" xfId="0" applyBorder="1" applyAlignment="1">
      <alignment horizontal="left" vertical="center"/>
    </xf>
    <xf numFmtId="0" fontId="24" fillId="0" borderId="94" xfId="0" applyFont="1" applyBorder="1" applyAlignment="1">
      <alignment horizontal="center" vertical="center"/>
    </xf>
    <xf numFmtId="0" fontId="24" fillId="0" borderId="95" xfId="0" applyFont="1" applyBorder="1" applyAlignment="1">
      <alignment horizontal="center" vertical="center"/>
    </xf>
    <xf numFmtId="0" fontId="0" fillId="0" borderId="96" xfId="0" applyBorder="1"/>
    <xf numFmtId="0" fontId="37" fillId="26" borderId="7" xfId="0" applyFont="1" applyFill="1" applyBorder="1" applyAlignment="1">
      <alignment horizontal="center" vertical="center" wrapText="1"/>
    </xf>
    <xf numFmtId="0" fontId="37" fillId="26" borderId="2" xfId="0" applyFont="1" applyFill="1" applyBorder="1" applyAlignment="1">
      <alignment horizontal="right"/>
    </xf>
    <xf numFmtId="0" fontId="37" fillId="0" borderId="0" xfId="0" applyFont="1" applyAlignment="1">
      <alignment horizontal="center" vertical="center"/>
    </xf>
    <xf numFmtId="0" fontId="37" fillId="26" borderId="19" xfId="0" applyFont="1" applyFill="1" applyBorder="1" applyAlignment="1">
      <alignment horizontal="center" vertical="center" wrapText="1"/>
    </xf>
    <xf numFmtId="0" fontId="37" fillId="26" borderId="10" xfId="0" applyFont="1" applyFill="1" applyBorder="1" applyAlignment="1">
      <alignment horizontal="center" vertical="center"/>
    </xf>
    <xf numFmtId="0" fontId="37" fillId="26" borderId="11" xfId="0" applyFont="1" applyFill="1" applyBorder="1" applyAlignment="1">
      <alignment horizontal="center" vertical="center"/>
    </xf>
    <xf numFmtId="0" fontId="38" fillId="26" borderId="19" xfId="0" applyFont="1" applyFill="1" applyBorder="1" applyAlignment="1">
      <alignment horizontal="center" vertical="center" wrapText="1"/>
    </xf>
    <xf numFmtId="0" fontId="37" fillId="26" borderId="14" xfId="0" applyFont="1" applyFill="1" applyBorder="1" applyAlignment="1">
      <alignment horizontal="center" vertical="center" wrapText="1"/>
    </xf>
    <xf numFmtId="0" fontId="39" fillId="27" borderId="14" xfId="0" applyFont="1" applyFill="1" applyBorder="1" applyAlignment="1">
      <alignment horizontal="center" vertical="center"/>
    </xf>
    <xf numFmtId="0" fontId="40" fillId="27" borderId="14" xfId="0" applyFont="1" applyFill="1" applyBorder="1" applyAlignment="1">
      <alignment horizontal="center" vertical="center"/>
    </xf>
    <xf numFmtId="0" fontId="40" fillId="27" borderId="2" xfId="0" applyFont="1" applyFill="1" applyBorder="1" applyAlignment="1">
      <alignment horizontal="center" vertical="center" wrapText="1"/>
    </xf>
    <xf numFmtId="0" fontId="38" fillId="26" borderId="14" xfId="0" applyFont="1" applyFill="1" applyBorder="1" applyAlignment="1">
      <alignment horizontal="center" vertical="center" wrapText="1"/>
    </xf>
    <xf numFmtId="0" fontId="40" fillId="27" borderId="2" xfId="0" applyFont="1" applyFill="1" applyBorder="1" applyAlignment="1">
      <alignment horizontal="right"/>
    </xf>
    <xf numFmtId="0" fontId="41" fillId="0" borderId="0" xfId="0" applyFont="1" applyAlignment="1">
      <alignment horizontal="center" vertical="center"/>
    </xf>
    <xf numFmtId="0" fontId="42" fillId="28" borderId="10" xfId="0" applyFont="1" applyFill="1" applyBorder="1" applyAlignment="1">
      <alignment horizontal="left" vertical="center"/>
    </xf>
    <xf numFmtId="0" fontId="42" fillId="28" borderId="10" xfId="0" applyFont="1" applyFill="1" applyBorder="1" applyAlignment="1">
      <alignment horizontal="center" vertical="center"/>
    </xf>
    <xf numFmtId="22" fontId="43" fillId="29" borderId="17" xfId="0" applyNumberFormat="1" applyFont="1" applyFill="1" applyBorder="1" applyAlignment="1">
      <alignment horizontal="right"/>
    </xf>
    <xf numFmtId="22" fontId="43" fillId="29" borderId="30" xfId="0" applyNumberFormat="1" applyFont="1" applyFill="1" applyBorder="1" applyAlignment="1">
      <alignment horizontal="right"/>
    </xf>
    <xf numFmtId="164" fontId="44" fillId="30" borderId="2" xfId="0" applyNumberFormat="1" applyFont="1" applyFill="1" applyBorder="1" applyAlignment="1">
      <alignment horizontal="right"/>
    </xf>
    <xf numFmtId="164" fontId="44" fillId="30" borderId="10" xfId="0" applyNumberFormat="1" applyFont="1" applyFill="1" applyBorder="1" applyAlignment="1">
      <alignment horizontal="right"/>
    </xf>
    <xf numFmtId="0" fontId="41" fillId="29" borderId="10" xfId="0" applyFont="1" applyFill="1" applyBorder="1" applyAlignment="1">
      <alignment horizontal="left" vertical="center" wrapText="1"/>
    </xf>
    <xf numFmtId="0" fontId="45" fillId="0" borderId="0" xfId="0" applyFont="1" applyAlignment="1">
      <alignment horizontal="center" vertical="center"/>
    </xf>
    <xf numFmtId="0" fontId="41" fillId="29" borderId="10" xfId="0" applyFont="1" applyFill="1" applyBorder="1" applyAlignment="1">
      <alignment horizontal="left" vertical="center"/>
    </xf>
    <xf numFmtId="0" fontId="0" fillId="31" borderId="2" xfId="0" applyFill="1" applyBorder="1" applyAlignment="1">
      <alignment horizontal="center" vertical="center"/>
    </xf>
    <xf numFmtId="49" fontId="0" fillId="0" borderId="0" xfId="0" applyNumberFormat="1"/>
    <xf numFmtId="0" fontId="46" fillId="0" borderId="2" xfId="0" applyFont="1" applyBorder="1" applyAlignment="1">
      <alignment horizontal="center" vertical="center"/>
    </xf>
    <xf numFmtId="165" fontId="46" fillId="0" borderId="2" xfId="0" applyNumberFormat="1" applyFont="1" applyBorder="1" applyAlignment="1">
      <alignment horizontal="center" vertical="center"/>
    </xf>
    <xf numFmtId="166" fontId="46"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166" fontId="0" fillId="0" borderId="2" xfId="0" applyNumberFormat="1" applyBorder="1" applyAlignment="1">
      <alignment horizontal="center" vertical="center"/>
    </xf>
    <xf numFmtId="18" fontId="0" fillId="0" borderId="2" xfId="0" applyNumberFormat="1" applyBorder="1" applyAlignment="1">
      <alignment horizontal="center" vertical="center"/>
    </xf>
    <xf numFmtId="166" fontId="0" fillId="0" borderId="2" xfId="0" applyNumberFormat="1" applyBorder="1" applyAlignment="1">
      <alignment horizontal="center" vertical="center" wrapText="1"/>
    </xf>
    <xf numFmtId="18" fontId="0" fillId="0" borderId="7" xfId="0" applyNumberFormat="1" applyBorder="1" applyAlignment="1">
      <alignment horizontal="center" vertical="center"/>
    </xf>
    <xf numFmtId="166" fontId="0" fillId="0" borderId="10" xfId="0" applyNumberFormat="1" applyBorder="1" applyAlignment="1">
      <alignment horizontal="center" vertical="center" wrapText="1"/>
    </xf>
    <xf numFmtId="166" fontId="0" fillId="0" borderId="7" xfId="0" applyNumberFormat="1" applyBorder="1" applyAlignment="1">
      <alignment horizontal="center" vertical="center"/>
    </xf>
    <xf numFmtId="18" fontId="0" fillId="0" borderId="10" xfId="0" applyNumberFormat="1" applyBorder="1" applyAlignment="1">
      <alignment horizontal="center" vertical="center"/>
    </xf>
    <xf numFmtId="166" fontId="0" fillId="0" borderId="10" xfId="0" applyNumberFormat="1" applyBorder="1" applyAlignment="1">
      <alignment horizontal="center" vertical="center"/>
    </xf>
    <xf numFmtId="0" fontId="0" fillId="0" borderId="10" xfId="0" applyBorder="1" applyAlignment="1">
      <alignment horizontal="center" vertical="center"/>
    </xf>
    <xf numFmtId="18" fontId="0" fillId="0" borderId="10" xfId="0" applyNumberFormat="1" applyBorder="1" applyAlignment="1">
      <alignment horizontal="center"/>
    </xf>
    <xf numFmtId="165" fontId="0" fillId="0" borderId="10" xfId="0" applyNumberFormat="1" applyBorder="1" applyAlignment="1">
      <alignment horizontal="center" vertical="center"/>
    </xf>
    <xf numFmtId="0" fontId="0" fillId="0" borderId="10" xfId="0" applyBorder="1" applyAlignment="1">
      <alignment horizontal="center"/>
    </xf>
    <xf numFmtId="0" fontId="0" fillId="0" borderId="2" xfId="0" applyBorder="1" applyAlignment="1">
      <alignment horizontal="center" vertical="center" wrapText="1"/>
    </xf>
    <xf numFmtId="0" fontId="48" fillId="0" borderId="2" xfId="0" applyFont="1" applyBorder="1" applyAlignment="1">
      <alignment horizontal="center" vertical="center" wrapText="1"/>
    </xf>
    <xf numFmtId="0" fontId="50" fillId="10" borderId="99" xfId="0" applyFont="1" applyFill="1" applyBorder="1" applyAlignment="1">
      <alignment horizontal="center" vertical="center" wrapText="1"/>
    </xf>
    <xf numFmtId="0" fontId="50" fillId="10" borderId="100" xfId="0" applyFont="1" applyFill="1" applyBorder="1" applyAlignment="1">
      <alignment horizontal="center" vertical="center" wrapText="1"/>
    </xf>
    <xf numFmtId="0" fontId="51" fillId="0" borderId="2" xfId="0" applyFont="1" applyBorder="1" applyAlignment="1">
      <alignment horizontal="left" vertical="center"/>
    </xf>
    <xf numFmtId="0" fontId="26" fillId="0" borderId="2" xfId="0" applyFont="1" applyBorder="1" applyAlignment="1">
      <alignment horizontal="center" vertical="center"/>
    </xf>
    <xf numFmtId="0" fontId="51" fillId="0" borderId="2" xfId="0" applyFont="1" applyBorder="1" applyAlignment="1">
      <alignment vertical="center"/>
    </xf>
    <xf numFmtId="0" fontId="51" fillId="0" borderId="2" xfId="1" applyFont="1" applyBorder="1" applyAlignment="1">
      <alignment horizontal="left" vertical="center"/>
    </xf>
    <xf numFmtId="0" fontId="0" fillId="11" borderId="2" xfId="0" applyFill="1" applyBorder="1" applyAlignment="1">
      <alignment horizontal="left" vertical="center" wrapText="1"/>
    </xf>
    <xf numFmtId="0" fontId="12" fillId="0" borderId="0" xfId="0" applyFont="1" applyAlignment="1">
      <alignment horizontal="center" vertical="center"/>
    </xf>
    <xf numFmtId="0" fontId="52" fillId="0" borderId="0" xfId="0" applyFont="1"/>
    <xf numFmtId="0" fontId="53" fillId="0" borderId="0" xfId="0" applyFont="1"/>
    <xf numFmtId="0" fontId="51" fillId="0" borderId="0" xfId="0" applyFont="1"/>
    <xf numFmtId="0" fontId="51" fillId="0" borderId="20" xfId="0" quotePrefix="1" applyFont="1" applyBorder="1" applyAlignment="1">
      <alignment horizontal="left" vertical="center"/>
    </xf>
    <xf numFmtId="0" fontId="5" fillId="0" borderId="2" xfId="1" applyBorder="1" applyAlignment="1">
      <alignment horizontal="left" vertical="center"/>
    </xf>
    <xf numFmtId="0" fontId="53" fillId="0" borderId="0" xfId="0" quotePrefix="1" applyFont="1"/>
    <xf numFmtId="0" fontId="53" fillId="15" borderId="0" xfId="0" applyFont="1" applyFill="1"/>
    <xf numFmtId="0" fontId="55" fillId="0" borderId="0" xfId="0" applyFont="1"/>
    <xf numFmtId="0" fontId="57" fillId="34" borderId="0" xfId="0" applyFont="1" applyFill="1" applyAlignment="1">
      <alignment vertical="top"/>
    </xf>
    <xf numFmtId="0" fontId="45" fillId="0" borderId="0" xfId="0" applyFont="1" applyAlignment="1">
      <alignment horizontal="center" vertical="top"/>
    </xf>
    <xf numFmtId="0" fontId="41" fillId="0" borderId="0" xfId="0" applyFont="1" applyAlignment="1">
      <alignment vertical="top"/>
    </xf>
    <xf numFmtId="0" fontId="45" fillId="0" borderId="0" xfId="0" applyFont="1" applyAlignment="1">
      <alignment vertical="top"/>
    </xf>
    <xf numFmtId="0" fontId="29" fillId="35" borderId="0" xfId="0" applyFont="1" applyFill="1"/>
    <xf numFmtId="0" fontId="58" fillId="35" borderId="0" xfId="0" applyFont="1" applyFill="1"/>
    <xf numFmtId="0" fontId="59" fillId="35" borderId="2" xfId="0" applyFont="1" applyFill="1" applyBorder="1" applyAlignment="1">
      <alignment horizontal="center" vertical="center"/>
    </xf>
    <xf numFmtId="0" fontId="37" fillId="35" borderId="11" xfId="0" applyFont="1" applyFill="1" applyBorder="1" applyAlignment="1">
      <alignment horizontal="center" vertical="center"/>
    </xf>
    <xf numFmtId="0" fontId="29" fillId="0" borderId="10" xfId="0" applyFont="1" applyBorder="1"/>
    <xf numFmtId="0" fontId="29" fillId="0" borderId="10" xfId="0" applyFont="1" applyBorder="1" applyAlignment="1">
      <alignment wrapText="1"/>
    </xf>
    <xf numFmtId="0" fontId="58" fillId="0" borderId="10" xfId="0" applyFont="1" applyBorder="1" applyAlignment="1">
      <alignment wrapText="1"/>
    </xf>
    <xf numFmtId="0" fontId="45" fillId="0" borderId="2" xfId="0" quotePrefix="1" applyFont="1" applyBorder="1" applyAlignment="1">
      <alignment horizontal="center" vertical="center"/>
    </xf>
    <xf numFmtId="0" fontId="59" fillId="0" borderId="47" xfId="0" applyFont="1" applyBorder="1" applyAlignment="1">
      <alignment vertical="top" wrapText="1"/>
    </xf>
    <xf numFmtId="0" fontId="33" fillId="0" borderId="15" xfId="0" applyFont="1" applyBorder="1"/>
    <xf numFmtId="0" fontId="33" fillId="0" borderId="10" xfId="0" applyFont="1" applyBorder="1"/>
    <xf numFmtId="0" fontId="43" fillId="0" borderId="10" xfId="0" applyFont="1" applyBorder="1" applyAlignment="1">
      <alignment wrapText="1"/>
    </xf>
    <xf numFmtId="0" fontId="45" fillId="0" borderId="2" xfId="0" applyFont="1" applyBorder="1" applyAlignment="1">
      <alignment horizontal="center" vertical="center"/>
    </xf>
    <xf numFmtId="0" fontId="33" fillId="34" borderId="10" xfId="0" applyFont="1" applyFill="1" applyBorder="1" applyAlignment="1">
      <alignment wrapText="1"/>
    </xf>
    <xf numFmtId="0" fontId="45" fillId="0" borderId="2" xfId="0" applyFont="1" applyBorder="1" applyAlignment="1">
      <alignment horizontal="center" vertical="center" wrapText="1"/>
    </xf>
    <xf numFmtId="0" fontId="60" fillId="0" borderId="104" xfId="0" applyFont="1" applyBorder="1" applyAlignment="1">
      <alignment vertical="top" wrapText="1"/>
    </xf>
    <xf numFmtId="0" fontId="41" fillId="0" borderId="105" xfId="0" applyFont="1" applyBorder="1" applyAlignment="1">
      <alignment vertical="center" wrapText="1"/>
    </xf>
    <xf numFmtId="0" fontId="45" fillId="0" borderId="105" xfId="0" applyFont="1" applyBorder="1" applyAlignment="1">
      <alignment vertical="top" wrapText="1"/>
    </xf>
    <xf numFmtId="0" fontId="57" fillId="0" borderId="105" xfId="0" applyFont="1" applyBorder="1" applyAlignment="1">
      <alignment vertical="top" wrapText="1"/>
    </xf>
    <xf numFmtId="0" fontId="45" fillId="0" borderId="105" xfId="0" applyFont="1" applyBorder="1" applyAlignment="1">
      <alignment vertical="top"/>
    </xf>
    <xf numFmtId="0" fontId="29" fillId="36" borderId="10" xfId="0" applyFont="1" applyFill="1" applyBorder="1"/>
    <xf numFmtId="0" fontId="37" fillId="0" borderId="105" xfId="0" applyFont="1" applyBorder="1" applyAlignment="1">
      <alignment vertical="center" wrapText="1"/>
    </xf>
    <xf numFmtId="0" fontId="61" fillId="37" borderId="105" xfId="0" applyFont="1" applyFill="1" applyBorder="1" applyAlignment="1">
      <alignment vertical="top"/>
    </xf>
    <xf numFmtId="0" fontId="33" fillId="29" borderId="10" xfId="0" applyFont="1" applyFill="1" applyBorder="1"/>
    <xf numFmtId="0" fontId="29" fillId="34" borderId="10" xfId="0" applyFont="1" applyFill="1" applyBorder="1" applyAlignment="1">
      <alignment wrapText="1"/>
    </xf>
    <xf numFmtId="0" fontId="45" fillId="11" borderId="2" xfId="0" applyFont="1" applyFill="1" applyBorder="1" applyAlignment="1">
      <alignment horizontal="center" vertical="center"/>
    </xf>
    <xf numFmtId="0" fontId="62" fillId="0" borderId="105" xfId="0" applyFont="1" applyBorder="1" applyAlignment="1">
      <alignment vertical="top"/>
    </xf>
    <xf numFmtId="0" fontId="30" fillId="9" borderId="103" xfId="0" applyFont="1" applyFill="1" applyBorder="1" applyAlignment="1">
      <alignment vertical="center"/>
    </xf>
    <xf numFmtId="0" fontId="63" fillId="9" borderId="103" xfId="0" applyFont="1" applyFill="1" applyBorder="1" applyAlignment="1">
      <alignment vertical="center" wrapText="1"/>
    </xf>
    <xf numFmtId="0" fontId="48" fillId="9" borderId="103" xfId="0" applyFont="1" applyFill="1" applyBorder="1" applyAlignment="1">
      <alignment vertical="center"/>
    </xf>
    <xf numFmtId="9" fontId="30" fillId="9" borderId="103" xfId="0" applyNumberFormat="1" applyFont="1" applyFill="1" applyBorder="1" applyAlignment="1">
      <alignment vertical="center"/>
    </xf>
    <xf numFmtId="0" fontId="30" fillId="9" borderId="103" xfId="0" applyFont="1" applyFill="1" applyBorder="1" applyAlignment="1">
      <alignment horizontal="right" vertical="center"/>
    </xf>
    <xf numFmtId="0" fontId="64" fillId="9" borderId="103" xfId="0" applyFont="1" applyFill="1" applyBorder="1" applyAlignment="1">
      <alignment vertical="center" wrapText="1"/>
    </xf>
    <xf numFmtId="0" fontId="30" fillId="38" borderId="103" xfId="0" applyFont="1" applyFill="1" applyBorder="1" applyAlignment="1">
      <alignment vertical="center"/>
    </xf>
    <xf numFmtId="0" fontId="17" fillId="10" borderId="2" xfId="0" applyFont="1" applyFill="1" applyBorder="1" applyAlignment="1">
      <alignment horizontal="center"/>
    </xf>
    <xf numFmtId="0" fontId="4" fillId="11" borderId="2" xfId="0" applyFont="1" applyFill="1" applyBorder="1"/>
    <xf numFmtId="0" fontId="4" fillId="11" borderId="2" xfId="0" applyFont="1" applyFill="1" applyBorder="1" applyAlignment="1">
      <alignment horizontal="left"/>
    </xf>
    <xf numFmtId="0" fontId="65" fillId="11" borderId="2" xfId="0" applyFont="1" applyFill="1" applyBorder="1"/>
    <xf numFmtId="0" fontId="53" fillId="0" borderId="0" xfId="0" applyFont="1" applyAlignment="1">
      <alignment horizontal="left" vertical="center" wrapText="1"/>
    </xf>
    <xf numFmtId="0" fontId="50" fillId="10" borderId="19" xfId="0" applyFont="1" applyFill="1" applyBorder="1" applyAlignment="1">
      <alignment horizontal="center" vertical="center" wrapText="1"/>
    </xf>
    <xf numFmtId="0" fontId="50" fillId="10" borderId="0" xfId="0" applyFont="1" applyFill="1" applyAlignment="1">
      <alignment horizontal="center" vertical="center" wrapText="1"/>
    </xf>
    <xf numFmtId="0" fontId="67" fillId="0" borderId="2" xfId="1" applyFont="1" applyBorder="1" applyAlignment="1">
      <alignment horizontal="left" vertical="center"/>
    </xf>
    <xf numFmtId="0" fontId="67" fillId="0" borderId="2" xfId="0" applyFont="1" applyBorder="1" applyAlignment="1">
      <alignment horizontal="left" vertical="center"/>
    </xf>
    <xf numFmtId="0" fontId="67" fillId="0" borderId="2" xfId="1" applyFont="1" applyFill="1" applyBorder="1" applyAlignment="1">
      <alignment horizontal="left" vertical="center"/>
    </xf>
    <xf numFmtId="0" fontId="67" fillId="0" borderId="0" xfId="0" applyFont="1" applyAlignment="1">
      <alignment horizontal="left" vertical="center"/>
    </xf>
    <xf numFmtId="0" fontId="0" fillId="0" borderId="2" xfId="0" applyBorder="1" applyAlignment="1">
      <alignment horizontal="center"/>
    </xf>
    <xf numFmtId="0" fontId="42" fillId="0" borderId="2" xfId="0" applyFont="1" applyBorder="1" applyAlignment="1">
      <alignment horizontal="left" vertical="center"/>
    </xf>
    <xf numFmtId="0" fontId="54" fillId="19" borderId="2" xfId="0" applyFont="1" applyFill="1" applyBorder="1" applyAlignment="1">
      <alignment horizontal="center" vertical="center"/>
    </xf>
    <xf numFmtId="0" fontId="68" fillId="10" borderId="0" xfId="0" applyFont="1" applyFill="1" applyAlignment="1">
      <alignment horizontal="center"/>
    </xf>
    <xf numFmtId="0" fontId="66" fillId="0" borderId="2" xfId="0" applyFont="1" applyBorder="1" applyAlignment="1">
      <alignment horizontal="center" vertical="center"/>
    </xf>
    <xf numFmtId="0" fontId="51" fillId="0" borderId="2" xfId="0" quotePrefix="1" applyFont="1" applyBorder="1" applyAlignment="1">
      <alignment vertical="center" wrapText="1"/>
    </xf>
    <xf numFmtId="0" fontId="53" fillId="0" borderId="2" xfId="0" applyFont="1" applyBorder="1" applyAlignment="1">
      <alignment horizontal="center" vertical="center"/>
    </xf>
    <xf numFmtId="0" fontId="5" fillId="0" borderId="2" xfId="1" applyBorder="1" applyAlignment="1">
      <alignment horizontal="center" vertical="center" wrapText="1"/>
    </xf>
    <xf numFmtId="0" fontId="53" fillId="0" borderId="2" xfId="0" applyFont="1" applyBorder="1" applyAlignment="1">
      <alignment horizontal="left" vertical="center" wrapText="1"/>
    </xf>
    <xf numFmtId="0" fontId="51" fillId="0" borderId="2" xfId="0" applyFont="1" applyBorder="1" applyAlignment="1">
      <alignment horizontal="center" vertical="center"/>
    </xf>
    <xf numFmtId="0" fontId="52" fillId="0" borderId="2" xfId="0" applyFont="1" applyBorder="1" applyAlignment="1">
      <alignment horizontal="center" vertical="center" wrapText="1"/>
    </xf>
    <xf numFmtId="0" fontId="53" fillId="0" borderId="2" xfId="0" quotePrefix="1" applyFont="1" applyBorder="1" applyAlignment="1">
      <alignment vertical="top" wrapText="1"/>
    </xf>
    <xf numFmtId="0" fontId="66" fillId="0" borderId="2" xfId="0" applyFont="1" applyBorder="1" applyAlignment="1">
      <alignment horizontal="center" vertical="center" wrapText="1"/>
    </xf>
    <xf numFmtId="0" fontId="53" fillId="0" borderId="2" xfId="0" applyFont="1" applyBorder="1"/>
    <xf numFmtId="17" fontId="0" fillId="0" borderId="42" xfId="0" applyNumberFormat="1" applyBorder="1" applyAlignment="1">
      <alignment horizontal="center" vertical="center"/>
    </xf>
    <xf numFmtId="0" fontId="0" fillId="0" borderId="106" xfId="0" applyBorder="1" applyAlignment="1">
      <alignment horizontal="center" vertical="center"/>
    </xf>
    <xf numFmtId="0" fontId="0" fillId="0" borderId="19" xfId="0" applyBorder="1"/>
    <xf numFmtId="0" fontId="5" fillId="0" borderId="10" xfId="1" applyBorder="1" applyAlignment="1">
      <alignment wrapText="1"/>
    </xf>
    <xf numFmtId="0" fontId="5" fillId="0" borderId="10" xfId="1" applyBorder="1"/>
    <xf numFmtId="0" fontId="0" fillId="0" borderId="11" xfId="0" applyBorder="1" applyAlignment="1">
      <alignment horizontal="center" vertical="center"/>
    </xf>
    <xf numFmtId="0" fontId="0" fillId="0" borderId="97" xfId="0" applyBorder="1" applyAlignment="1">
      <alignment horizontal="center" vertical="center"/>
    </xf>
    <xf numFmtId="0" fontId="17" fillId="10" borderId="7" xfId="0" applyFont="1" applyFill="1" applyBorder="1" applyAlignment="1">
      <alignment horizontal="center"/>
    </xf>
    <xf numFmtId="0" fontId="73" fillId="39" borderId="10" xfId="0" applyFont="1" applyFill="1" applyBorder="1" applyAlignment="1">
      <alignment horizontal="center" vertical="center" wrapText="1"/>
    </xf>
    <xf numFmtId="0" fontId="74" fillId="39" borderId="10" xfId="0" applyFont="1" applyFill="1" applyBorder="1" applyAlignment="1">
      <alignment horizontal="center" vertical="center"/>
    </xf>
    <xf numFmtId="0" fontId="76" fillId="39" borderId="10" xfId="1" applyFont="1" applyFill="1" applyBorder="1" applyAlignment="1">
      <alignment horizontal="center" vertical="center"/>
    </xf>
    <xf numFmtId="0" fontId="77" fillId="39" borderId="10" xfId="1" applyFont="1" applyFill="1" applyBorder="1" applyAlignment="1">
      <alignment vertical="center" wrapText="1"/>
    </xf>
    <xf numFmtId="0" fontId="73" fillId="39" borderId="10" xfId="0" applyFont="1" applyFill="1" applyBorder="1" applyAlignment="1">
      <alignment vertical="top" wrapText="1"/>
    </xf>
    <xf numFmtId="0" fontId="73" fillId="39" borderId="10" xfId="0" applyFont="1" applyFill="1" applyBorder="1" applyAlignment="1">
      <alignment horizontal="center" vertical="center"/>
    </xf>
    <xf numFmtId="0" fontId="75" fillId="39" borderId="10" xfId="1" applyFont="1" applyFill="1" applyBorder="1" applyAlignment="1">
      <alignment horizontal="center" vertical="center" wrapText="1"/>
    </xf>
    <xf numFmtId="0" fontId="73" fillId="0" borderId="10" xfId="0" applyFont="1" applyBorder="1" applyAlignment="1">
      <alignment horizontal="center" vertical="center"/>
    </xf>
    <xf numFmtId="0" fontId="74" fillId="0" borderId="10" xfId="0" applyFont="1" applyBorder="1" applyAlignment="1">
      <alignment horizontal="center" vertical="center"/>
    </xf>
    <xf numFmtId="0" fontId="75" fillId="0" borderId="10" xfId="1" applyFont="1" applyBorder="1" applyAlignment="1">
      <alignment horizontal="center" vertical="center"/>
    </xf>
    <xf numFmtId="0" fontId="76" fillId="0" borderId="10" xfId="1" applyFont="1" applyBorder="1" applyAlignment="1">
      <alignment horizontal="center" vertical="center"/>
    </xf>
    <xf numFmtId="0" fontId="73" fillId="0" borderId="10" xfId="0" applyFont="1" applyBorder="1" applyAlignment="1">
      <alignment horizontal="left" vertical="center" wrapText="1"/>
    </xf>
    <xf numFmtId="0" fontId="70" fillId="8" borderId="10" xfId="1" applyFont="1" applyFill="1" applyBorder="1" applyAlignment="1">
      <alignment horizontal="center" vertical="center" wrapText="1"/>
    </xf>
    <xf numFmtId="0" fontId="73" fillId="0" borderId="10" xfId="0" applyFont="1" applyBorder="1" applyAlignment="1">
      <alignment wrapText="1"/>
    </xf>
    <xf numFmtId="0" fontId="75" fillId="0" borderId="10" xfId="1" applyFont="1" applyBorder="1" applyAlignment="1">
      <alignment horizontal="center" vertical="center" wrapText="1"/>
    </xf>
    <xf numFmtId="0" fontId="78" fillId="0" borderId="10" xfId="1" applyFont="1" applyBorder="1" applyAlignment="1">
      <alignment horizontal="center" vertical="center"/>
    </xf>
    <xf numFmtId="0" fontId="77" fillId="0" borderId="10" xfId="1" applyFont="1" applyBorder="1" applyAlignment="1">
      <alignment horizontal="center" vertical="center" wrapText="1"/>
    </xf>
    <xf numFmtId="0" fontId="72" fillId="0" borderId="10" xfId="0" applyFont="1" applyBorder="1" applyAlignment="1">
      <alignment horizontal="left" vertical="top" wrapText="1"/>
    </xf>
    <xf numFmtId="0" fontId="71" fillId="6" borderId="10" xfId="0" applyFont="1" applyFill="1" applyBorder="1" applyAlignment="1">
      <alignment horizontal="center" vertical="center" wrapText="1"/>
    </xf>
    <xf numFmtId="0" fontId="71" fillId="7" borderId="10" xfId="0" applyFont="1" applyFill="1" applyBorder="1" applyAlignment="1">
      <alignment horizontal="center" vertical="center" wrapText="1"/>
    </xf>
    <xf numFmtId="0" fontId="73" fillId="39" borderId="10" xfId="0" quotePrefix="1" applyFont="1" applyFill="1" applyBorder="1" applyAlignment="1">
      <alignment horizontal="left" vertical="top" wrapText="1"/>
    </xf>
    <xf numFmtId="0" fontId="18" fillId="0" borderId="10" xfId="0" applyFont="1" applyBorder="1" applyAlignment="1">
      <alignment horizontal="left" vertical="top" wrapText="1"/>
    </xf>
    <xf numFmtId="0" fontId="18" fillId="0" borderId="10" xfId="0" quotePrefix="1" applyFont="1" applyBorder="1" applyAlignment="1">
      <alignment horizontal="left" vertical="top" wrapText="1"/>
    </xf>
    <xf numFmtId="0" fontId="72" fillId="0" borderId="10" xfId="0" applyFont="1" applyBorder="1" applyAlignment="1">
      <alignment vertical="top" wrapText="1"/>
    </xf>
    <xf numFmtId="0" fontId="71" fillId="6" borderId="10" xfId="0" applyFont="1" applyFill="1" applyBorder="1" applyAlignment="1">
      <alignment horizontal="left" vertical="center" wrapText="1"/>
    </xf>
    <xf numFmtId="0" fontId="21" fillId="0" borderId="10" xfId="0" applyFont="1" applyBorder="1" applyAlignment="1">
      <alignment vertical="top" wrapText="1"/>
    </xf>
    <xf numFmtId="0" fontId="5" fillId="0" borderId="10" xfId="1" applyBorder="1" applyAlignment="1">
      <alignment horizontal="center" vertical="center" wrapText="1"/>
    </xf>
    <xf numFmtId="0" fontId="5" fillId="0" borderId="5" xfId="1" applyBorder="1" applyAlignment="1">
      <alignment horizontal="center" vertical="center" wrapText="1"/>
    </xf>
    <xf numFmtId="0" fontId="5" fillId="0" borderId="10" xfId="1" applyBorder="1" applyAlignment="1">
      <alignment horizontal="center" vertical="center"/>
    </xf>
    <xf numFmtId="0" fontId="0" fillId="0" borderId="107" xfId="0" applyBorder="1" applyAlignment="1">
      <alignment horizontal="center" vertical="center"/>
    </xf>
    <xf numFmtId="0" fontId="37" fillId="26" borderId="7" xfId="0" applyFont="1" applyFill="1" applyBorder="1" applyAlignment="1">
      <alignment horizontal="center" vertical="center"/>
    </xf>
    <xf numFmtId="1" fontId="0" fillId="13" borderId="23" xfId="0" applyNumberFormat="1" applyFill="1" applyBorder="1" applyAlignment="1">
      <alignment horizontal="center" vertical="center"/>
    </xf>
    <xf numFmtId="0" fontId="17" fillId="12" borderId="108" xfId="0" applyFont="1" applyFill="1" applyBorder="1" applyAlignment="1">
      <alignment horizontal="center"/>
    </xf>
    <xf numFmtId="1" fontId="0" fillId="13" borderId="12" xfId="0" applyNumberFormat="1" applyFill="1" applyBorder="1" applyAlignment="1">
      <alignment horizontal="center" vertical="center"/>
    </xf>
    <xf numFmtId="1" fontId="0" fillId="13" borderId="10" xfId="0" applyNumberFormat="1" applyFill="1" applyBorder="1" applyAlignment="1">
      <alignment horizontal="center" vertical="center"/>
    </xf>
    <xf numFmtId="0" fontId="18" fillId="0" borderId="10" xfId="0" applyFont="1" applyBorder="1" applyAlignment="1">
      <alignment horizontal="center" wrapText="1"/>
    </xf>
    <xf numFmtId="0" fontId="74" fillId="0" borderId="16" xfId="0" applyFont="1" applyBorder="1" applyAlignment="1">
      <alignment horizontal="center" vertical="center"/>
    </xf>
    <xf numFmtId="0" fontId="13" fillId="0" borderId="0" xfId="1" applyFont="1" applyAlignment="1">
      <alignment vertical="center" wrapText="1"/>
    </xf>
    <xf numFmtId="0" fontId="0" fillId="0" borderId="109" xfId="0" applyBorder="1" applyAlignment="1">
      <alignment horizontal="center" vertical="center"/>
    </xf>
    <xf numFmtId="1" fontId="0" fillId="13" borderId="9" xfId="0" applyNumberFormat="1" applyFill="1" applyBorder="1" applyAlignment="1">
      <alignment horizontal="center" vertical="center"/>
    </xf>
    <xf numFmtId="0" fontId="26" fillId="0" borderId="0" xfId="0" applyFont="1" applyAlignment="1">
      <alignment horizontal="center" vertical="center"/>
    </xf>
    <xf numFmtId="0" fontId="26" fillId="0" borderId="10" xfId="0" applyFont="1" applyBorder="1" applyAlignment="1">
      <alignment horizontal="center" vertical="center"/>
    </xf>
    <xf numFmtId="0" fontId="42" fillId="28" borderId="5" xfId="0" applyFont="1" applyFill="1" applyBorder="1" applyAlignment="1">
      <alignment horizontal="left" vertical="center"/>
    </xf>
    <xf numFmtId="0" fontId="42" fillId="28" borderId="16" xfId="0" applyFont="1" applyFill="1" applyBorder="1" applyAlignment="1">
      <alignment horizontal="left" vertical="center"/>
    </xf>
    <xf numFmtId="0" fontId="42" fillId="28" borderId="17" xfId="0" applyFont="1" applyFill="1" applyBorder="1" applyAlignment="1">
      <alignment horizontal="left" vertical="center"/>
    </xf>
    <xf numFmtId="0" fontId="42" fillId="11" borderId="10" xfId="0" applyFont="1" applyFill="1" applyBorder="1" applyAlignment="1">
      <alignment horizontal="left" vertical="center"/>
    </xf>
    <xf numFmtId="0" fontId="42" fillId="28" borderId="5" xfId="0" applyFont="1" applyFill="1" applyBorder="1" applyAlignment="1">
      <alignment horizontal="center" vertical="center"/>
    </xf>
    <xf numFmtId="0" fontId="81" fillId="0" borderId="10" xfId="0" applyFont="1" applyBorder="1" applyAlignment="1">
      <alignment horizontal="center" vertical="center"/>
    </xf>
    <xf numFmtId="0" fontId="42" fillId="11" borderId="5" xfId="0" applyFont="1" applyFill="1" applyBorder="1" applyAlignment="1">
      <alignment horizontal="left" vertical="center"/>
    </xf>
    <xf numFmtId="0" fontId="42" fillId="11" borderId="5" xfId="0" applyFont="1" applyFill="1" applyBorder="1" applyAlignment="1">
      <alignment horizontal="center" vertical="center"/>
    </xf>
    <xf numFmtId="0" fontId="42" fillId="11" borderId="6" xfId="0" applyFont="1" applyFill="1" applyBorder="1" applyAlignment="1">
      <alignment horizontal="left" vertical="center"/>
    </xf>
    <xf numFmtId="0" fontId="26" fillId="0" borderId="16" xfId="0" applyFont="1" applyBorder="1" applyAlignment="1">
      <alignment horizontal="center" vertical="center"/>
    </xf>
    <xf numFmtId="0" fontId="26" fillId="0" borderId="10" xfId="0" applyFont="1" applyBorder="1" applyAlignment="1">
      <alignment horizontal="right"/>
    </xf>
    <xf numFmtId="22" fontId="43" fillId="29" borderId="22" xfId="0" applyNumberFormat="1" applyFont="1" applyFill="1" applyBorder="1" applyAlignment="1">
      <alignment horizontal="right"/>
    </xf>
    <xf numFmtId="22" fontId="43" fillId="29" borderId="110" xfId="0" applyNumberFormat="1" applyFont="1" applyFill="1" applyBorder="1" applyAlignment="1">
      <alignment horizontal="right"/>
    </xf>
    <xf numFmtId="164" fontId="44" fillId="30" borderId="7" xfId="0" applyNumberFormat="1" applyFont="1" applyFill="1" applyBorder="1" applyAlignment="1">
      <alignment horizontal="right"/>
    </xf>
    <xf numFmtId="164" fontId="44" fillId="30" borderId="5" xfId="0" applyNumberFormat="1" applyFont="1" applyFill="1" applyBorder="1" applyAlignment="1">
      <alignment horizontal="right"/>
    </xf>
    <xf numFmtId="0" fontId="10" fillId="8" borderId="7" xfId="0" applyFont="1" applyFill="1" applyBorder="1" applyAlignment="1">
      <alignment horizontal="center" vertical="center" wrapText="1"/>
    </xf>
    <xf numFmtId="0" fontId="41" fillId="29" borderId="5" xfId="0" applyFont="1" applyFill="1" applyBorder="1" applyAlignment="1">
      <alignment horizontal="left" vertical="center"/>
    </xf>
    <xf numFmtId="164" fontId="80" fillId="0" borderId="0" xfId="0" applyNumberFormat="1" applyFont="1" applyAlignment="1">
      <alignment horizontal="right"/>
    </xf>
    <xf numFmtId="0" fontId="79" fillId="0" borderId="0" xfId="0" applyFont="1" applyAlignment="1">
      <alignment horizontal="center" vertical="center"/>
    </xf>
    <xf numFmtId="164" fontId="82" fillId="14" borderId="10" xfId="0" applyNumberFormat="1" applyFont="1" applyFill="1" applyBorder="1" applyAlignment="1">
      <alignment horizontal="center"/>
    </xf>
    <xf numFmtId="0" fontId="42" fillId="28" borderId="22" xfId="0" applyFont="1" applyFill="1" applyBorder="1" applyAlignment="1">
      <alignment horizontal="left" vertical="center"/>
    </xf>
    <xf numFmtId="0" fontId="26" fillId="0" borderId="10" xfId="0" applyFont="1" applyBorder="1" applyAlignment="1">
      <alignment horizontal="left" vertical="center"/>
    </xf>
    <xf numFmtId="0" fontId="11" fillId="0" borderId="10" xfId="0" applyFont="1" applyBorder="1" applyAlignment="1">
      <alignment wrapText="1"/>
    </xf>
    <xf numFmtId="0" fontId="74" fillId="0" borderId="6" xfId="0" applyFont="1" applyBorder="1" applyAlignment="1">
      <alignment horizontal="center" vertical="center"/>
    </xf>
    <xf numFmtId="0" fontId="53" fillId="0" borderId="16" xfId="0" applyFont="1" applyBorder="1" applyAlignment="1">
      <alignment horizontal="left" vertical="center" wrapText="1"/>
    </xf>
    <xf numFmtId="0" fontId="73" fillId="0" borderId="16" xfId="0" applyFont="1" applyBorder="1" applyAlignment="1">
      <alignment horizontal="center" vertical="center"/>
    </xf>
    <xf numFmtId="0" fontId="83" fillId="0" borderId="15" xfId="0" applyFont="1" applyBorder="1" applyAlignment="1">
      <alignment horizontal="left" vertical="top" wrapText="1"/>
    </xf>
    <xf numFmtId="0" fontId="72" fillId="0" borderId="0" xfId="0" applyFont="1" applyAlignment="1">
      <alignment vertical="top" wrapText="1"/>
    </xf>
    <xf numFmtId="0" fontId="53" fillId="0" borderId="10" xfId="0" applyFont="1" applyBorder="1" applyAlignment="1">
      <alignment vertical="top" wrapText="1"/>
    </xf>
    <xf numFmtId="0" fontId="72" fillId="39" borderId="10" xfId="1" applyFont="1" applyFill="1" applyBorder="1" applyAlignment="1">
      <alignment horizontal="left" vertical="center" wrapText="1"/>
    </xf>
    <xf numFmtId="0" fontId="72" fillId="39" borderId="10" xfId="0" applyFont="1" applyFill="1" applyBorder="1" applyAlignment="1">
      <alignment horizontal="left" vertical="top" wrapText="1"/>
    </xf>
    <xf numFmtId="0" fontId="66" fillId="0" borderId="10" xfId="0" applyFont="1" applyBorder="1" applyAlignment="1">
      <alignment vertical="top" wrapText="1"/>
    </xf>
    <xf numFmtId="0" fontId="72" fillId="0" borderId="10" xfId="0" applyFont="1" applyBorder="1" applyAlignment="1">
      <alignment horizontal="left" vertical="center" wrapText="1"/>
    </xf>
    <xf numFmtId="22" fontId="43" fillId="11" borderId="10" xfId="0" applyNumberFormat="1" applyFont="1" applyFill="1" applyBorder="1" applyAlignment="1">
      <alignment horizontal="right"/>
    </xf>
    <xf numFmtId="164" fontId="44" fillId="11" borderId="97" xfId="0" applyNumberFormat="1" applyFont="1" applyFill="1" applyBorder="1" applyAlignment="1">
      <alignment horizontal="right"/>
    </xf>
    <xf numFmtId="164" fontId="44" fillId="11" borderId="5" xfId="0" applyNumberFormat="1" applyFont="1" applyFill="1" applyBorder="1" applyAlignment="1">
      <alignment horizontal="right"/>
    </xf>
    <xf numFmtId="164" fontId="43" fillId="29" borderId="17" xfId="0" applyNumberFormat="1" applyFont="1" applyFill="1" applyBorder="1" applyAlignment="1">
      <alignment horizontal="right"/>
    </xf>
    <xf numFmtId="22" fontId="43" fillId="29" borderId="10" xfId="0" applyNumberFormat="1" applyFont="1" applyFill="1" applyBorder="1" applyAlignment="1">
      <alignment horizontal="right"/>
    </xf>
    <xf numFmtId="164" fontId="44" fillId="30" borderId="15" xfId="0" applyNumberFormat="1" applyFont="1" applyFill="1" applyBorder="1" applyAlignment="1">
      <alignment horizontal="right"/>
    </xf>
    <xf numFmtId="164" fontId="43" fillId="29" borderId="10" xfId="0" applyNumberFormat="1" applyFont="1" applyFill="1" applyBorder="1" applyAlignment="1">
      <alignment horizontal="right"/>
    </xf>
    <xf numFmtId="0" fontId="48" fillId="0" borderId="0" xfId="0" applyFont="1" applyAlignment="1">
      <alignment horizontal="left" vertical="center"/>
    </xf>
    <xf numFmtId="0" fontId="48" fillId="0" borderId="0" xfId="0" applyFont="1" applyAlignment="1">
      <alignment horizontal="center" vertical="center"/>
    </xf>
    <xf numFmtId="164" fontId="30" fillId="0" borderId="0" xfId="0" applyNumberFormat="1" applyFont="1" applyAlignment="1">
      <alignment horizontal="right"/>
    </xf>
    <xf numFmtId="0" fontId="48" fillId="0" borderId="0" xfId="0" applyFont="1" applyAlignment="1">
      <alignment horizontal="right"/>
    </xf>
    <xf numFmtId="0" fontId="15" fillId="0" borderId="2" xfId="0" applyFont="1" applyBorder="1" applyAlignment="1">
      <alignment horizontal="left" vertical="center" wrapText="1"/>
    </xf>
    <xf numFmtId="0" fontId="73" fillId="40" borderId="10" xfId="0" applyFont="1" applyFill="1" applyBorder="1" applyAlignment="1">
      <alignment horizontal="center" vertical="center"/>
    </xf>
    <xf numFmtId="0" fontId="74" fillId="40" borderId="10" xfId="0" applyFont="1" applyFill="1" applyBorder="1" applyAlignment="1">
      <alignment horizontal="center" vertical="center"/>
    </xf>
    <xf numFmtId="0" fontId="5" fillId="40" borderId="10" xfId="1" applyFill="1" applyBorder="1" applyAlignment="1">
      <alignment horizontal="center" vertical="center" wrapText="1"/>
    </xf>
    <xf numFmtId="0" fontId="78" fillId="40" borderId="10" xfId="1" applyFont="1" applyFill="1" applyBorder="1" applyAlignment="1">
      <alignment horizontal="center" vertical="center"/>
    </xf>
    <xf numFmtId="0" fontId="73" fillId="40" borderId="10" xfId="0" applyFont="1" applyFill="1" applyBorder="1" applyAlignment="1">
      <alignment horizontal="left" vertical="center" wrapText="1"/>
    </xf>
    <xf numFmtId="0" fontId="70" fillId="40" borderId="10" xfId="1" applyFont="1" applyFill="1" applyBorder="1" applyAlignment="1">
      <alignment horizontal="center" vertical="center" wrapText="1"/>
    </xf>
    <xf numFmtId="0" fontId="72" fillId="40" borderId="10" xfId="0" applyFont="1" applyFill="1" applyBorder="1" applyAlignment="1">
      <alignment horizontal="left" vertical="top" wrapText="1"/>
    </xf>
    <xf numFmtId="0" fontId="73" fillId="40" borderId="10" xfId="0" applyFont="1" applyFill="1" applyBorder="1" applyAlignment="1">
      <alignment wrapText="1"/>
    </xf>
    <xf numFmtId="0" fontId="18" fillId="40" borderId="10" xfId="0" applyFont="1" applyFill="1" applyBorder="1" applyAlignment="1">
      <alignment horizontal="left" vertical="top" wrapText="1"/>
    </xf>
    <xf numFmtId="0" fontId="5" fillId="0" borderId="10" xfId="1" applyFill="1" applyBorder="1" applyAlignment="1">
      <alignment horizontal="center" vertical="center" wrapText="1"/>
    </xf>
    <xf numFmtId="0" fontId="78" fillId="0" borderId="10" xfId="1" applyFont="1" applyFill="1" applyBorder="1" applyAlignment="1">
      <alignment horizontal="center" vertical="center"/>
    </xf>
    <xf numFmtId="0" fontId="84" fillId="0" borderId="10" xfId="0" applyFont="1" applyBorder="1" applyAlignment="1">
      <alignment horizontal="left" vertical="top" wrapText="1"/>
    </xf>
    <xf numFmtId="0" fontId="84" fillId="40" borderId="10" xfId="0" applyFont="1" applyFill="1" applyBorder="1" applyAlignment="1">
      <alignment horizontal="left" vertical="top" wrapText="1"/>
    </xf>
    <xf numFmtId="0" fontId="74" fillId="40" borderId="16" xfId="0" applyFont="1" applyFill="1" applyBorder="1" applyAlignment="1">
      <alignment horizontal="center" vertical="center"/>
    </xf>
    <xf numFmtId="0" fontId="5" fillId="40" borderId="10" xfId="1" applyFill="1" applyBorder="1" applyAlignment="1">
      <alignment horizontal="center" vertical="center"/>
    </xf>
    <xf numFmtId="0" fontId="76" fillId="40" borderId="10" xfId="1" applyFont="1" applyFill="1" applyBorder="1" applyAlignment="1">
      <alignment horizontal="center" vertical="center"/>
    </xf>
    <xf numFmtId="0" fontId="21" fillId="40" borderId="10" xfId="0" applyFont="1" applyFill="1" applyBorder="1" applyAlignment="1">
      <alignment horizontal="left" vertical="top" wrapText="1"/>
    </xf>
    <xf numFmtId="0" fontId="11" fillId="0" borderId="10" xfId="0" applyFont="1" applyBorder="1" applyAlignment="1">
      <alignment horizontal="center" vertical="center"/>
    </xf>
    <xf numFmtId="0" fontId="11" fillId="0" borderId="10" xfId="0" applyFont="1" applyBorder="1" applyAlignment="1">
      <alignment horizontal="center" vertical="center" wrapText="1"/>
    </xf>
    <xf numFmtId="0" fontId="53" fillId="0" borderId="10" xfId="0" applyFont="1" applyBorder="1" applyAlignment="1">
      <alignment horizontal="left" vertical="center" wrapText="1"/>
    </xf>
    <xf numFmtId="0" fontId="15" fillId="0" borderId="10" xfId="0" applyFont="1" applyBorder="1" applyAlignment="1">
      <alignment horizontal="left" vertical="top" wrapText="1"/>
    </xf>
    <xf numFmtId="0" fontId="11" fillId="0" borderId="5" xfId="0" applyFont="1" applyBorder="1" applyAlignment="1">
      <alignment horizontal="center" vertical="center"/>
    </xf>
    <xf numFmtId="0" fontId="53" fillId="0" borderId="5" xfId="0" applyFont="1" applyBorder="1" applyAlignment="1">
      <alignment horizontal="left" vertical="center" wrapText="1"/>
    </xf>
    <xf numFmtId="0" fontId="11" fillId="0" borderId="5" xfId="0" applyFont="1" applyBorder="1" applyAlignment="1">
      <alignment wrapText="1"/>
    </xf>
    <xf numFmtId="0" fontId="15" fillId="0" borderId="5" xfId="0" applyFont="1" applyBorder="1" applyAlignment="1">
      <alignment horizontal="left" vertical="top" wrapText="1"/>
    </xf>
    <xf numFmtId="0" fontId="11" fillId="0" borderId="8" xfId="0" applyFont="1" applyBorder="1" applyAlignment="1">
      <alignment horizontal="center" vertical="center" wrapText="1"/>
    </xf>
    <xf numFmtId="0" fontId="11" fillId="0" borderId="6" xfId="0" applyFont="1" applyBorder="1" applyAlignment="1">
      <alignment horizontal="center" vertical="center"/>
    </xf>
    <xf numFmtId="0" fontId="11" fillId="0" borderId="17" xfId="0" applyFont="1" applyBorder="1" applyAlignment="1">
      <alignment horizontal="center" vertical="center"/>
    </xf>
    <xf numFmtId="0" fontId="5" fillId="0" borderId="17" xfId="1" applyBorder="1" applyAlignment="1">
      <alignment horizontal="center" vertical="center" wrapText="1"/>
    </xf>
    <xf numFmtId="0" fontId="12" fillId="0" borderId="5" xfId="0" applyFont="1" applyBorder="1" applyAlignment="1">
      <alignment vertical="top" wrapText="1"/>
    </xf>
    <xf numFmtId="0" fontId="5" fillId="0" borderId="0" xfId="1" applyAlignment="1">
      <alignment horizontal="left" vertical="center" wrapText="1"/>
    </xf>
    <xf numFmtId="0" fontId="14" fillId="0" borderId="5" xfId="0" applyFont="1" applyBorder="1" applyAlignment="1">
      <alignment vertical="top" wrapText="1"/>
    </xf>
    <xf numFmtId="1" fontId="0" fillId="0" borderId="0" xfId="0" applyNumberFormat="1" applyAlignment="1">
      <alignment horizontal="center" vertical="center"/>
    </xf>
    <xf numFmtId="1" fontId="0" fillId="0" borderId="10" xfId="0" applyNumberFormat="1" applyBorder="1" applyAlignment="1">
      <alignment horizontal="center" vertical="center"/>
    </xf>
    <xf numFmtId="0" fontId="5" fillId="0" borderId="10" xfId="1" applyBorder="1" applyAlignment="1">
      <alignment horizontal="left"/>
    </xf>
    <xf numFmtId="0" fontId="5" fillId="0" borderId="10" xfId="1" applyBorder="1" applyAlignment="1">
      <alignment horizontal="left" wrapText="1"/>
    </xf>
    <xf numFmtId="0" fontId="0" fillId="9" borderId="10" xfId="0" applyFill="1" applyBorder="1"/>
    <xf numFmtId="0" fontId="11" fillId="0" borderId="16" xfId="0" applyFont="1" applyBorder="1" applyAlignment="1">
      <alignment horizontal="center" vertical="center" wrapText="1"/>
    </xf>
    <xf numFmtId="0" fontId="5" fillId="0" borderId="15" xfId="1" applyBorder="1" applyAlignment="1">
      <alignment horizontal="center" vertical="center" wrapText="1"/>
    </xf>
    <xf numFmtId="0" fontId="15" fillId="0" borderId="7" xfId="0" applyFont="1" applyBorder="1" applyAlignment="1">
      <alignment horizontal="left" vertical="center" wrapText="1"/>
    </xf>
    <xf numFmtId="0" fontId="0" fillId="0" borderId="11" xfId="0" applyBorder="1"/>
    <xf numFmtId="0" fontId="11" fillId="0" borderId="8" xfId="0" quotePrefix="1" applyFont="1" applyBorder="1" applyAlignment="1">
      <alignment horizontal="left" vertical="center" wrapText="1"/>
    </xf>
    <xf numFmtId="0" fontId="0" fillId="0" borderId="111" xfId="0" applyBorder="1"/>
    <xf numFmtId="0" fontId="5" fillId="0" borderId="16" xfId="1" applyBorder="1" applyAlignment="1">
      <alignment horizontal="left" vertical="center" wrapText="1"/>
    </xf>
    <xf numFmtId="0" fontId="14" fillId="0" borderId="112" xfId="0" applyFont="1" applyBorder="1" applyAlignment="1">
      <alignment horizontal="left" vertical="top" wrapText="1"/>
    </xf>
    <xf numFmtId="0" fontId="17" fillId="14" borderId="19" xfId="0" applyFont="1" applyFill="1" applyBorder="1" applyAlignment="1">
      <alignment horizontal="center"/>
    </xf>
    <xf numFmtId="0" fontId="17" fillId="41" borderId="19" xfId="0" applyFont="1" applyFill="1" applyBorder="1" applyAlignment="1">
      <alignment horizontal="center"/>
    </xf>
    <xf numFmtId="0" fontId="17" fillId="15" borderId="19" xfId="0" applyFont="1" applyFill="1" applyBorder="1" applyAlignment="1">
      <alignment horizontal="center"/>
    </xf>
    <xf numFmtId="0" fontId="17" fillId="42" borderId="19" xfId="0" applyFont="1" applyFill="1" applyBorder="1" applyAlignment="1">
      <alignment horizontal="center"/>
    </xf>
    <xf numFmtId="0" fontId="5" fillId="0" borderId="15" xfId="1" applyBorder="1" applyAlignment="1">
      <alignment horizontal="left" vertical="center" wrapText="1"/>
    </xf>
    <xf numFmtId="0" fontId="53" fillId="0" borderId="6" xfId="0" applyFont="1" applyBorder="1" applyAlignment="1">
      <alignment horizontal="left" vertical="center" wrapText="1"/>
    </xf>
    <xf numFmtId="0" fontId="73" fillId="39" borderId="16" xfId="0" applyFont="1" applyFill="1" applyBorder="1" applyAlignment="1">
      <alignment horizontal="left" vertical="top" wrapText="1"/>
    </xf>
    <xf numFmtId="0" fontId="11" fillId="0" borderId="113" xfId="0" applyFont="1" applyBorder="1" applyAlignment="1">
      <alignment horizontal="center"/>
    </xf>
    <xf numFmtId="0" fontId="11" fillId="0" borderId="113" xfId="0" applyFont="1" applyBorder="1" applyAlignment="1">
      <alignment horizontal="center" wrapText="1"/>
    </xf>
    <xf numFmtId="0" fontId="11" fillId="40" borderId="113" xfId="0" applyFont="1" applyFill="1" applyBorder="1" applyAlignment="1">
      <alignment horizontal="center"/>
    </xf>
    <xf numFmtId="0" fontId="86" fillId="0" borderId="113" xfId="0" applyFont="1" applyBorder="1" applyAlignment="1">
      <alignment horizontal="center"/>
    </xf>
    <xf numFmtId="0" fontId="73" fillId="0" borderId="16" xfId="0" applyFont="1" applyBorder="1" applyAlignment="1">
      <alignment horizontal="left" vertical="top" wrapText="1"/>
    </xf>
    <xf numFmtId="0" fontId="73" fillId="40" borderId="16" xfId="0" applyFont="1" applyFill="1" applyBorder="1" applyAlignment="1">
      <alignment horizontal="left" vertical="top" wrapText="1"/>
    </xf>
    <xf numFmtId="0" fontId="11" fillId="0" borderId="16" xfId="0" applyFont="1" applyBorder="1" applyAlignment="1">
      <alignment horizontal="left" vertical="top" wrapText="1"/>
    </xf>
    <xf numFmtId="0" fontId="11" fillId="0" borderId="6" xfId="0" applyFont="1" applyBorder="1" applyAlignment="1">
      <alignment horizontal="left" vertical="top" wrapText="1"/>
    </xf>
    <xf numFmtId="0" fontId="11" fillId="0" borderId="114" xfId="0" applyFont="1" applyBorder="1" applyAlignment="1">
      <alignment horizontal="center"/>
    </xf>
    <xf numFmtId="0" fontId="11" fillId="0" borderId="114" xfId="0" applyFont="1" applyBorder="1" applyAlignment="1">
      <alignment horizontal="center" wrapText="1"/>
    </xf>
    <xf numFmtId="0" fontId="11" fillId="40" borderId="114" xfId="0" applyFont="1" applyFill="1" applyBorder="1" applyAlignment="1">
      <alignment horizontal="center"/>
    </xf>
    <xf numFmtId="0" fontId="71" fillId="6" borderId="6" xfId="0" applyFont="1" applyFill="1" applyBorder="1" applyAlignment="1">
      <alignment horizontal="center" vertical="center" wrapText="1"/>
    </xf>
    <xf numFmtId="0" fontId="73" fillId="0" borderId="21" xfId="0" applyFont="1" applyBorder="1" applyAlignment="1">
      <alignment horizontal="left" vertical="top"/>
    </xf>
    <xf numFmtId="0" fontId="73" fillId="39" borderId="21" xfId="0" applyFont="1" applyFill="1" applyBorder="1" applyAlignment="1">
      <alignment horizontal="left" vertical="top" wrapText="1"/>
    </xf>
    <xf numFmtId="0" fontId="73" fillId="40" borderId="21" xfId="0" applyFont="1" applyFill="1" applyBorder="1" applyAlignment="1">
      <alignment horizontal="left" vertical="top"/>
    </xf>
    <xf numFmtId="0" fontId="73" fillId="0" borderId="21" xfId="0" applyFont="1" applyBorder="1" applyAlignment="1">
      <alignment horizontal="center" vertical="center"/>
    </xf>
    <xf numFmtId="0" fontId="11" fillId="0" borderId="21" xfId="0" applyFont="1" applyBorder="1" applyAlignment="1">
      <alignment horizontal="left" vertical="top"/>
    </xf>
    <xf numFmtId="0" fontId="11" fillId="0" borderId="15" xfId="0" applyFont="1" applyBorder="1" applyAlignment="1">
      <alignment horizontal="center"/>
    </xf>
    <xf numFmtId="0" fontId="11" fillId="0" borderId="21" xfId="0" applyFont="1" applyBorder="1" applyAlignment="1">
      <alignment wrapText="1"/>
    </xf>
    <xf numFmtId="0" fontId="5" fillId="0" borderId="21" xfId="1" applyBorder="1" applyAlignment="1">
      <alignment horizontal="center" vertical="center"/>
    </xf>
    <xf numFmtId="0" fontId="5" fillId="0" borderId="30" xfId="1" applyBorder="1" applyAlignment="1">
      <alignment horizontal="left" vertical="center" wrapText="1"/>
    </xf>
    <xf numFmtId="0" fontId="89" fillId="0" borderId="21" xfId="1" applyFont="1" applyBorder="1" applyAlignment="1">
      <alignment horizontal="center" vertical="center"/>
    </xf>
    <xf numFmtId="0" fontId="53" fillId="0" borderId="29" xfId="0" applyFont="1" applyBorder="1" applyAlignment="1">
      <alignment horizontal="left" vertical="center" wrapText="1"/>
    </xf>
    <xf numFmtId="0" fontId="5" fillId="0" borderId="0" xfId="1" applyAlignment="1">
      <alignment vertical="center" wrapText="1"/>
    </xf>
    <xf numFmtId="0" fontId="14" fillId="0" borderId="10" xfId="0" applyFont="1" applyBorder="1" applyAlignment="1">
      <alignment horizontal="left" vertical="top" wrapText="1"/>
    </xf>
    <xf numFmtId="0" fontId="23" fillId="20" borderId="2" xfId="0" applyFont="1" applyFill="1" applyBorder="1" applyAlignment="1">
      <alignment horizontal="center" vertical="center"/>
    </xf>
    <xf numFmtId="0" fontId="25" fillId="0" borderId="2" xfId="0" applyFont="1" applyBorder="1" applyAlignment="1">
      <alignment horizontal="center" vertical="center"/>
    </xf>
    <xf numFmtId="0" fontId="5" fillId="0" borderId="2" xfId="1" applyBorder="1" applyAlignment="1">
      <alignment horizontal="left" vertical="top"/>
    </xf>
    <xf numFmtId="0" fontId="5" fillId="18" borderId="21" xfId="1" applyFill="1" applyBorder="1" applyAlignment="1">
      <alignment horizontal="center" vertical="center"/>
    </xf>
    <xf numFmtId="0" fontId="5" fillId="18" borderId="15" xfId="1" applyFill="1" applyBorder="1" applyAlignment="1">
      <alignment horizontal="left" vertical="center" wrapText="1"/>
    </xf>
    <xf numFmtId="0" fontId="91" fillId="18" borderId="10" xfId="0" applyFont="1" applyFill="1" applyBorder="1" applyAlignment="1">
      <alignment horizontal="left" vertical="top" wrapText="1"/>
    </xf>
    <xf numFmtId="0" fontId="5" fillId="0" borderId="8" xfId="1" applyBorder="1" applyAlignment="1">
      <alignment horizontal="left" vertical="top" wrapText="1"/>
    </xf>
    <xf numFmtId="0" fontId="12" fillId="0" borderId="10" xfId="0" applyFont="1" applyBorder="1" applyAlignment="1">
      <alignment wrapText="1"/>
    </xf>
    <xf numFmtId="0" fontId="11" fillId="0" borderId="16" xfId="0" applyFont="1" applyBorder="1" applyAlignment="1">
      <alignment horizontal="center" vertical="center"/>
    </xf>
    <xf numFmtId="0" fontId="11" fillId="0" borderId="15" xfId="0" applyFont="1" applyBorder="1" applyAlignment="1">
      <alignment horizontal="center" vertical="center" wrapText="1"/>
    </xf>
    <xf numFmtId="0" fontId="5" fillId="0" borderId="24" xfId="1" applyBorder="1" applyAlignment="1">
      <alignment horizontal="left" vertical="center" wrapText="1"/>
    </xf>
    <xf numFmtId="0" fontId="12" fillId="0" borderId="15" xfId="0" applyFont="1" applyBorder="1"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29" fillId="23" borderId="54" xfId="0" applyFont="1" applyFill="1" applyBorder="1" applyAlignment="1">
      <alignment horizontal="center" vertical="center"/>
    </xf>
    <xf numFmtId="0" fontId="29" fillId="23" borderId="54" xfId="0" applyFont="1" applyFill="1" applyBorder="1"/>
    <xf numFmtId="0" fontId="29" fillId="23" borderId="0" xfId="0" applyFont="1" applyFill="1"/>
    <xf numFmtId="0" fontId="22" fillId="22" borderId="47" xfId="0" applyFont="1" applyFill="1" applyBorder="1"/>
    <xf numFmtId="0" fontId="23" fillId="20" borderId="116" xfId="0" applyFont="1" applyFill="1" applyBorder="1" applyAlignment="1">
      <alignment horizontal="center" vertical="center"/>
    </xf>
    <xf numFmtId="0" fontId="23" fillId="20" borderId="0" xfId="0" applyFont="1" applyFill="1" applyAlignment="1">
      <alignment horizontal="center" vertical="center"/>
    </xf>
    <xf numFmtId="0" fontId="23" fillId="20" borderId="2" xfId="0" applyFont="1" applyFill="1" applyBorder="1" applyAlignment="1">
      <alignment horizontal="center"/>
    </xf>
    <xf numFmtId="0" fontId="0" fillId="0" borderId="24" xfId="0" applyBorder="1" applyAlignment="1">
      <alignment horizontal="center"/>
    </xf>
    <xf numFmtId="0" fontId="5" fillId="39" borderId="2" xfId="1" applyFill="1" applyBorder="1"/>
    <xf numFmtId="0" fontId="0" fillId="39" borderId="2" xfId="0" applyFill="1" applyBorder="1" applyAlignment="1">
      <alignment horizontal="center" vertical="center"/>
    </xf>
    <xf numFmtId="1" fontId="85" fillId="39" borderId="2" xfId="0" applyNumberFormat="1" applyFont="1" applyFill="1" applyBorder="1" applyAlignment="1">
      <alignment horizontal="center" vertical="center"/>
    </xf>
    <xf numFmtId="0" fontId="18" fillId="39" borderId="2" xfId="0" applyFont="1" applyFill="1" applyBorder="1" applyAlignment="1">
      <alignment horizontal="center" wrapText="1"/>
    </xf>
    <xf numFmtId="0" fontId="26" fillId="0" borderId="10" xfId="0" applyFont="1" applyBorder="1" applyAlignment="1">
      <alignment vertical="top" wrapText="1"/>
    </xf>
    <xf numFmtId="0" fontId="0" fillId="43" borderId="2" xfId="0" applyFill="1" applyBorder="1" applyAlignment="1">
      <alignment horizontal="left" vertical="center"/>
    </xf>
    <xf numFmtId="0" fontId="12" fillId="0" borderId="10" xfId="0" applyFont="1" applyBorder="1" applyAlignment="1">
      <alignment horizontal="left" vertical="top" wrapText="1"/>
    </xf>
    <xf numFmtId="0" fontId="12" fillId="0" borderId="8" xfId="0" applyFont="1" applyBorder="1" applyAlignment="1">
      <alignment horizontal="left" vertical="top" wrapText="1"/>
    </xf>
    <xf numFmtId="0" fontId="70" fillId="8" borderId="2" xfId="1" applyFont="1" applyFill="1" applyBorder="1" applyAlignment="1">
      <alignment horizontal="center" vertical="center" wrapText="1"/>
    </xf>
    <xf numFmtId="0" fontId="70" fillId="8" borderId="115" xfId="1" applyFont="1" applyFill="1" applyBorder="1" applyAlignment="1">
      <alignment horizontal="center" vertical="center" wrapText="1"/>
    </xf>
    <xf numFmtId="0" fontId="11" fillId="0" borderId="8" xfId="0" applyFont="1" applyBorder="1" applyAlignment="1">
      <alignment wrapText="1"/>
    </xf>
    <xf numFmtId="0" fontId="12" fillId="0" borderId="24" xfId="0" applyFont="1" applyBorder="1" applyAlignment="1">
      <alignment vertical="top" wrapText="1"/>
    </xf>
    <xf numFmtId="0" fontId="11" fillId="18" borderId="10" xfId="0" applyFont="1" applyFill="1" applyBorder="1" applyAlignment="1">
      <alignment horizontal="center" vertical="center"/>
    </xf>
    <xf numFmtId="0" fontId="11" fillId="18" borderId="16" xfId="0" applyFont="1" applyFill="1" applyBorder="1" applyAlignment="1">
      <alignment horizontal="center" vertical="center"/>
    </xf>
    <xf numFmtId="0" fontId="11" fillId="18" borderId="15" xfId="0" applyFont="1" applyFill="1" applyBorder="1" applyAlignment="1">
      <alignment horizontal="center" vertical="center" wrapText="1"/>
    </xf>
    <xf numFmtId="0" fontId="53" fillId="18" borderId="16" xfId="0" applyFont="1" applyFill="1" applyBorder="1" applyAlignment="1">
      <alignment horizontal="left" vertical="center" wrapText="1"/>
    </xf>
    <xf numFmtId="0" fontId="12" fillId="18" borderId="10" xfId="0" applyFont="1" applyFill="1" applyBorder="1" applyAlignment="1">
      <alignment horizontal="left" vertical="top" wrapText="1"/>
    </xf>
    <xf numFmtId="0" fontId="12" fillId="18" borderId="16" xfId="0" applyFont="1" applyFill="1" applyBorder="1" applyAlignment="1">
      <alignment vertical="top" wrapText="1"/>
    </xf>
    <xf numFmtId="0" fontId="11" fillId="18" borderId="21" xfId="0" applyFont="1" applyFill="1" applyBorder="1" applyAlignment="1">
      <alignment wrapText="1"/>
    </xf>
    <xf numFmtId="0" fontId="11" fillId="18" borderId="15" xfId="0" applyFont="1" applyFill="1" applyBorder="1" applyAlignment="1">
      <alignment horizontal="center"/>
    </xf>
    <xf numFmtId="0" fontId="11" fillId="18" borderId="16" xfId="0" applyFont="1" applyFill="1" applyBorder="1" applyAlignment="1">
      <alignment horizontal="left" vertical="top" wrapText="1"/>
    </xf>
    <xf numFmtId="0" fontId="11" fillId="18" borderId="21" xfId="0" applyFont="1" applyFill="1" applyBorder="1" applyAlignment="1">
      <alignment horizontal="left" vertical="top"/>
    </xf>
    <xf numFmtId="0" fontId="11" fillId="0" borderId="113" xfId="0" applyFont="1" applyBorder="1" applyAlignment="1">
      <alignment wrapText="1"/>
    </xf>
    <xf numFmtId="0" fontId="17" fillId="12" borderId="7" xfId="0" applyFont="1" applyFill="1" applyBorder="1" applyAlignment="1">
      <alignment horizontal="center"/>
    </xf>
    <xf numFmtId="0" fontId="17" fillId="9" borderId="10" xfId="0" applyFont="1" applyFill="1" applyBorder="1" applyAlignment="1">
      <alignment horizontal="center"/>
    </xf>
    <xf numFmtId="0" fontId="17" fillId="12" borderId="17" xfId="0" applyFont="1" applyFill="1" applyBorder="1" applyAlignment="1">
      <alignment horizontal="center"/>
    </xf>
    <xf numFmtId="0" fontId="5" fillId="44" borderId="10" xfId="1" applyFill="1" applyBorder="1" applyAlignment="1">
      <alignment horizontal="left" vertical="top"/>
    </xf>
    <xf numFmtId="0" fontId="0" fillId="44" borderId="30" xfId="0" applyFill="1" applyBorder="1" applyAlignment="1">
      <alignment horizontal="center" vertical="center"/>
    </xf>
    <xf numFmtId="0" fontId="0" fillId="44" borderId="14" xfId="0" applyFill="1" applyBorder="1" applyAlignment="1">
      <alignment horizontal="center" vertical="center"/>
    </xf>
    <xf numFmtId="0" fontId="88" fillId="44" borderId="10" xfId="0" applyFont="1" applyFill="1" applyBorder="1" applyAlignment="1">
      <alignment horizontal="center"/>
    </xf>
    <xf numFmtId="0" fontId="87" fillId="44" borderId="10" xfId="0" applyFont="1" applyFill="1" applyBorder="1" applyAlignment="1">
      <alignment horizontal="center"/>
    </xf>
    <xf numFmtId="0" fontId="5" fillId="44" borderId="10" xfId="1" applyFill="1" applyBorder="1"/>
    <xf numFmtId="0" fontId="0" fillId="44" borderId="15" xfId="0" applyFill="1" applyBorder="1" applyAlignment="1">
      <alignment horizontal="center" vertical="center"/>
    </xf>
    <xf numFmtId="0" fontId="0" fillId="44" borderId="10" xfId="0" applyFill="1" applyBorder="1" applyAlignment="1">
      <alignment horizontal="center" vertical="center"/>
    </xf>
    <xf numFmtId="0" fontId="0" fillId="44" borderId="2" xfId="0" applyFill="1" applyBorder="1" applyAlignment="1">
      <alignment horizontal="center" vertical="center"/>
    </xf>
    <xf numFmtId="1" fontId="0" fillId="44" borderId="15" xfId="0" applyNumberFormat="1" applyFill="1" applyBorder="1" applyAlignment="1">
      <alignment horizontal="center" vertical="center"/>
    </xf>
    <xf numFmtId="1" fontId="85" fillId="44" borderId="27" xfId="0" applyNumberFormat="1" applyFont="1" applyFill="1" applyBorder="1" applyAlignment="1">
      <alignment horizontal="center" vertical="center"/>
    </xf>
    <xf numFmtId="0" fontId="18" fillId="44" borderId="2" xfId="0" applyFont="1" applyFill="1" applyBorder="1" applyAlignment="1">
      <alignment horizontal="center" wrapText="1"/>
    </xf>
    <xf numFmtId="0" fontId="5" fillId="44" borderId="17" xfId="1" applyFill="1" applyBorder="1"/>
    <xf numFmtId="0" fontId="11" fillId="0" borderId="10" xfId="0" applyFont="1" applyBorder="1" applyAlignment="1">
      <alignment horizontal="left" wrapText="1"/>
    </xf>
    <xf numFmtId="0" fontId="14" fillId="0" borderId="0" xfId="0" applyFont="1" applyAlignment="1">
      <alignment horizontal="left" vertical="top" wrapText="1"/>
    </xf>
    <xf numFmtId="0" fontId="11" fillId="0" borderId="5" xfId="0" applyFont="1" applyBorder="1" applyAlignment="1">
      <alignment horizontal="left" wrapText="1"/>
    </xf>
    <xf numFmtId="0" fontId="11" fillId="0" borderId="114" xfId="0" applyFont="1" applyBorder="1" applyAlignment="1">
      <alignment horizontal="left"/>
    </xf>
    <xf numFmtId="0" fontId="11" fillId="0" borderId="113" xfId="0" applyFont="1" applyBorder="1" applyAlignment="1">
      <alignment horizontal="left"/>
    </xf>
    <xf numFmtId="0" fontId="5" fillId="0" borderId="0" xfId="1" applyAlignment="1">
      <alignment wrapText="1"/>
    </xf>
    <xf numFmtId="0" fontId="5" fillId="44" borderId="10" xfId="1" applyFill="1" applyBorder="1" applyAlignment="1">
      <alignment horizontal="left" vertical="center" wrapText="1"/>
    </xf>
    <xf numFmtId="0" fontId="13" fillId="0" borderId="15" xfId="0" applyFont="1" applyBorder="1" applyAlignment="1">
      <alignment horizontal="left" vertical="top" wrapText="1"/>
    </xf>
    <xf numFmtId="0" fontId="5" fillId="0" borderId="22" xfId="1" applyBorder="1" applyAlignment="1">
      <alignment horizontal="left" vertical="center" wrapText="1"/>
    </xf>
    <xf numFmtId="0" fontId="11" fillId="0" borderId="21" xfId="0" applyFont="1" applyBorder="1" applyAlignment="1">
      <alignment vertical="top" wrapText="1"/>
    </xf>
    <xf numFmtId="0" fontId="99" fillId="0" borderId="119" xfId="0" applyFont="1" applyBorder="1" applyAlignment="1">
      <alignment horizontal="center" vertical="center" wrapText="1"/>
    </xf>
    <xf numFmtId="0" fontId="99" fillId="0" borderId="120" xfId="0" applyFont="1" applyBorder="1" applyAlignment="1">
      <alignment horizontal="center" vertical="center" wrapText="1"/>
    </xf>
    <xf numFmtId="0" fontId="99" fillId="0" borderId="120" xfId="0" applyFont="1" applyBorder="1" applyAlignment="1">
      <alignment horizontal="center" vertical="center"/>
    </xf>
    <xf numFmtId="0" fontId="99" fillId="29" borderId="119" xfId="0" applyFont="1" applyFill="1" applyBorder="1" applyAlignment="1">
      <alignment horizontal="center" vertical="center" wrapText="1"/>
    </xf>
    <xf numFmtId="0" fontId="98" fillId="45" borderId="117" xfId="0" applyFont="1" applyFill="1" applyBorder="1" applyAlignment="1">
      <alignment horizontal="center" vertical="center" wrapText="1"/>
    </xf>
    <xf numFmtId="0" fontId="98" fillId="45" borderId="118" xfId="0" applyFont="1" applyFill="1" applyBorder="1" applyAlignment="1">
      <alignment horizontal="center" vertical="center" wrapText="1"/>
    </xf>
    <xf numFmtId="0" fontId="5" fillId="44" borderId="6" xfId="1" applyFill="1" applyBorder="1"/>
    <xf numFmtId="1" fontId="0" fillId="44" borderId="2" xfId="0" applyNumberFormat="1" applyFill="1" applyBorder="1" applyAlignment="1">
      <alignment horizontal="center" vertical="center"/>
    </xf>
    <xf numFmtId="1" fontId="0" fillId="44" borderId="8" xfId="0" applyNumberFormat="1" applyFill="1" applyBorder="1" applyAlignment="1">
      <alignment horizontal="center" vertical="center"/>
    </xf>
    <xf numFmtId="0" fontId="100" fillId="0" borderId="120" xfId="0" applyFont="1" applyBorder="1" applyAlignment="1">
      <alignment horizontal="center" vertical="center" wrapText="1"/>
    </xf>
    <xf numFmtId="0" fontId="0" fillId="0" borderId="12" xfId="0" applyBorder="1"/>
    <xf numFmtId="0" fontId="5" fillId="44" borderId="2" xfId="1" applyFill="1" applyBorder="1"/>
    <xf numFmtId="0" fontId="87" fillId="44" borderId="2" xfId="0" applyFont="1" applyFill="1" applyBorder="1" applyAlignment="1">
      <alignment horizontal="center" vertical="center"/>
    </xf>
    <xf numFmtId="0" fontId="95" fillId="44" borderId="2" xfId="0" applyFont="1" applyFill="1" applyBorder="1" applyAlignment="1">
      <alignment horizontal="center" vertical="center" wrapText="1"/>
    </xf>
    <xf numFmtId="0" fontId="11" fillId="28" borderId="114" xfId="0" applyFont="1" applyFill="1" applyBorder="1" applyAlignment="1">
      <alignment horizontal="center"/>
    </xf>
    <xf numFmtId="0" fontId="11" fillId="28" borderId="113" xfId="0" applyFont="1" applyFill="1" applyBorder="1" applyAlignment="1">
      <alignment horizontal="center"/>
    </xf>
    <xf numFmtId="0" fontId="11" fillId="39" borderId="10" xfId="0" applyFont="1" applyFill="1" applyBorder="1" applyAlignment="1">
      <alignment horizontal="center" vertical="center"/>
    </xf>
    <xf numFmtId="0" fontId="11" fillId="39" borderId="16" xfId="0" applyFont="1" applyFill="1" applyBorder="1" applyAlignment="1">
      <alignment horizontal="center" vertical="center"/>
    </xf>
    <xf numFmtId="0" fontId="5" fillId="39" borderId="21" xfId="1" applyFill="1" applyBorder="1" applyAlignment="1">
      <alignment horizontal="center" vertical="center"/>
    </xf>
    <xf numFmtId="0" fontId="11" fillId="39" borderId="15" xfId="0" applyFont="1" applyFill="1" applyBorder="1" applyAlignment="1">
      <alignment horizontal="center" vertical="center" wrapText="1"/>
    </xf>
    <xf numFmtId="0" fontId="53" fillId="39" borderId="29" xfId="0" applyFont="1" applyFill="1" applyBorder="1" applyAlignment="1">
      <alignment horizontal="left" vertical="center" wrapText="1"/>
    </xf>
    <xf numFmtId="0" fontId="5" fillId="39" borderId="30" xfId="1" applyFill="1" applyBorder="1" applyAlignment="1">
      <alignment horizontal="left" vertical="center" wrapText="1"/>
    </xf>
    <xf numFmtId="0" fontId="12" fillId="39" borderId="17" xfId="0" applyFont="1" applyFill="1" applyBorder="1" applyAlignment="1">
      <alignment horizontal="left" vertical="top" wrapText="1"/>
    </xf>
    <xf numFmtId="0" fontId="12" fillId="39" borderId="10" xfId="0" applyFont="1" applyFill="1" applyBorder="1" applyAlignment="1">
      <alignment vertical="top" wrapText="1"/>
    </xf>
    <xf numFmtId="0" fontId="11" fillId="39" borderId="10" xfId="0" applyFont="1" applyFill="1" applyBorder="1" applyAlignment="1">
      <alignment wrapText="1"/>
    </xf>
    <xf numFmtId="0" fontId="91" fillId="39" borderId="10" xfId="0" applyFont="1" applyFill="1" applyBorder="1" applyAlignment="1">
      <alignment horizontal="left" vertical="top" wrapText="1"/>
    </xf>
    <xf numFmtId="0" fontId="11" fillId="39" borderId="16" xfId="0" applyFont="1" applyFill="1" applyBorder="1" applyAlignment="1">
      <alignment horizontal="left" vertical="top" wrapText="1"/>
    </xf>
    <xf numFmtId="0" fontId="11" fillId="39" borderId="21" xfId="0" applyFont="1" applyFill="1" applyBorder="1" applyAlignment="1">
      <alignment horizontal="left" vertical="top"/>
    </xf>
    <xf numFmtId="0" fontId="94" fillId="0" borderId="2" xfId="0" applyFont="1" applyBorder="1" applyAlignment="1">
      <alignment horizontal="center" vertical="center"/>
    </xf>
    <xf numFmtId="0" fontId="22" fillId="19" borderId="7" xfId="0" applyFont="1" applyFill="1" applyBorder="1" applyAlignment="1">
      <alignment horizontal="center" vertical="center"/>
    </xf>
    <xf numFmtId="0" fontId="17" fillId="12" borderId="117" xfId="0" applyFont="1" applyFill="1" applyBorder="1" applyAlignment="1">
      <alignment horizontal="center"/>
    </xf>
    <xf numFmtId="0" fontId="17" fillId="14" borderId="117" xfId="0" applyFont="1" applyFill="1" applyBorder="1" applyAlignment="1">
      <alignment horizontal="center"/>
    </xf>
    <xf numFmtId="0" fontId="17" fillId="41" borderId="117" xfId="0" applyFont="1" applyFill="1" applyBorder="1" applyAlignment="1">
      <alignment horizontal="center"/>
    </xf>
    <xf numFmtId="0" fontId="17" fillId="15" borderId="117" xfId="0" applyFont="1" applyFill="1" applyBorder="1" applyAlignment="1">
      <alignment horizontal="center"/>
    </xf>
    <xf numFmtId="0" fontId="17" fillId="42" borderId="117" xfId="0" applyFont="1" applyFill="1" applyBorder="1" applyAlignment="1">
      <alignment horizontal="center"/>
    </xf>
    <xf numFmtId="0" fontId="0" fillId="0" borderId="122" xfId="0" applyBorder="1" applyAlignment="1">
      <alignment horizontal="left"/>
    </xf>
    <xf numFmtId="0" fontId="0" fillId="0" borderId="14" xfId="0" applyBorder="1"/>
    <xf numFmtId="0" fontId="13" fillId="0" borderId="0" xfId="0" applyFont="1" applyAlignment="1">
      <alignment horizontal="center"/>
    </xf>
    <xf numFmtId="0" fontId="13" fillId="0" borderId="0" xfId="0" applyFont="1" applyAlignment="1">
      <alignment horizontal="center" vertical="center"/>
    </xf>
    <xf numFmtId="0" fontId="2" fillId="6" borderId="77" xfId="0" applyFont="1" applyFill="1" applyBorder="1" applyAlignment="1">
      <alignment horizontal="center" vertical="center"/>
    </xf>
    <xf numFmtId="0" fontId="0" fillId="0" borderId="37" xfId="0" applyBorder="1"/>
    <xf numFmtId="0" fontId="26" fillId="0" borderId="37" xfId="0" applyFont="1" applyBorder="1" applyAlignment="1">
      <alignment horizontal="left" vertical="top"/>
    </xf>
    <xf numFmtId="0" fontId="23" fillId="20" borderId="39" xfId="0" applyFont="1" applyFill="1" applyBorder="1" applyAlignment="1">
      <alignment horizontal="center" vertical="center"/>
    </xf>
    <xf numFmtId="0" fontId="23" fillId="20" borderId="39" xfId="0" applyFont="1" applyFill="1" applyBorder="1" applyAlignment="1">
      <alignment horizontal="center"/>
    </xf>
    <xf numFmtId="0" fontId="5" fillId="0" borderId="39" xfId="1" applyBorder="1" applyAlignment="1">
      <alignment horizontal="left" vertical="top"/>
    </xf>
    <xf numFmtId="0" fontId="0" fillId="0" borderId="39" xfId="0" applyBorder="1" applyAlignment="1">
      <alignment horizontal="center" vertical="center"/>
    </xf>
    <xf numFmtId="0" fontId="25" fillId="0" borderId="39" xfId="0" applyFont="1" applyBorder="1" applyAlignment="1">
      <alignment horizontal="center" vertical="center"/>
    </xf>
    <xf numFmtId="0" fontId="26" fillId="0" borderId="39" xfId="0" applyFont="1" applyBorder="1" applyAlignment="1">
      <alignment horizontal="center" vertical="center"/>
    </xf>
    <xf numFmtId="0" fontId="0" fillId="0" borderId="40" xfId="0" applyBorder="1"/>
    <xf numFmtId="0" fontId="0" fillId="44" borderId="117" xfId="0" applyFill="1" applyBorder="1" applyAlignment="1">
      <alignment horizontal="center" vertical="center"/>
    </xf>
    <xf numFmtId="1" fontId="0" fillId="44" borderId="117" xfId="0" applyNumberFormat="1" applyFill="1" applyBorder="1" applyAlignment="1">
      <alignment horizontal="center" vertical="center"/>
    </xf>
    <xf numFmtId="0" fontId="94" fillId="44" borderId="117" xfId="1" applyFont="1" applyFill="1" applyBorder="1" applyAlignment="1">
      <alignment horizontal="left" vertical="center" wrapText="1"/>
    </xf>
    <xf numFmtId="1" fontId="85" fillId="44" borderId="117" xfId="0" applyNumberFormat="1" applyFont="1" applyFill="1" applyBorder="1" applyAlignment="1">
      <alignment horizontal="center" vertical="center"/>
    </xf>
    <xf numFmtId="1" fontId="85" fillId="44" borderId="2" xfId="0" applyNumberFormat="1" applyFont="1" applyFill="1" applyBorder="1" applyAlignment="1">
      <alignment horizontal="center" vertical="center"/>
    </xf>
    <xf numFmtId="0" fontId="94" fillId="44" borderId="2" xfId="0" applyFont="1" applyFill="1" applyBorder="1" applyAlignment="1">
      <alignment horizontal="left"/>
    </xf>
    <xf numFmtId="0" fontId="98" fillId="45" borderId="119" xfId="0" applyFont="1" applyFill="1" applyBorder="1" applyAlignment="1">
      <alignment horizontal="center" vertical="center" wrapText="1"/>
    </xf>
    <xf numFmtId="0" fontId="98" fillId="45" borderId="120" xfId="0" applyFont="1" applyFill="1" applyBorder="1" applyAlignment="1">
      <alignment horizontal="center" vertical="center" wrapText="1"/>
    </xf>
    <xf numFmtId="0" fontId="0" fillId="28" borderId="0" xfId="0" applyFill="1"/>
    <xf numFmtId="0" fontId="101" fillId="47" borderId="120" xfId="0" applyFont="1" applyFill="1" applyBorder="1" applyAlignment="1">
      <alignment horizontal="center" vertical="center" wrapText="1"/>
    </xf>
    <xf numFmtId="0" fontId="17" fillId="14" borderId="19" xfId="0" applyFont="1" applyFill="1" applyBorder="1" applyAlignment="1">
      <alignment horizontal="center" vertical="center"/>
    </xf>
    <xf numFmtId="0" fontId="17" fillId="41" borderId="19" xfId="0" applyFont="1" applyFill="1" applyBorder="1" applyAlignment="1">
      <alignment horizontal="center" vertical="center"/>
    </xf>
    <xf numFmtId="0" fontId="17" fillId="15" borderId="19" xfId="0" applyFont="1" applyFill="1" applyBorder="1" applyAlignment="1">
      <alignment horizontal="center" vertical="center"/>
    </xf>
    <xf numFmtId="0" fontId="17" fillId="12" borderId="19" xfId="0" applyFont="1" applyFill="1" applyBorder="1" applyAlignment="1">
      <alignment horizontal="center" vertical="center"/>
    </xf>
    <xf numFmtId="0" fontId="17" fillId="42" borderId="19" xfId="0" applyFont="1" applyFill="1" applyBorder="1" applyAlignment="1">
      <alignment horizontal="center" vertical="center"/>
    </xf>
    <xf numFmtId="0" fontId="17" fillId="12" borderId="20" xfId="0" applyFont="1" applyFill="1" applyBorder="1" applyAlignment="1">
      <alignment horizontal="center" vertical="center"/>
    </xf>
    <xf numFmtId="0" fontId="17" fillId="12" borderId="17" xfId="0" applyFont="1" applyFill="1" applyBorder="1" applyAlignment="1">
      <alignment horizontal="center" vertical="center"/>
    </xf>
    <xf numFmtId="0" fontId="17" fillId="12" borderId="0" xfId="0" applyFont="1" applyFill="1" applyAlignment="1">
      <alignment horizontal="center" vertical="center"/>
    </xf>
    <xf numFmtId="0" fontId="94" fillId="44" borderId="117" xfId="1" applyFont="1" applyFill="1" applyBorder="1" applyAlignment="1">
      <alignment horizontal="left" vertical="center"/>
    </xf>
    <xf numFmtId="0" fontId="89" fillId="39" borderId="21" xfId="1" applyFont="1" applyFill="1" applyBorder="1" applyAlignment="1">
      <alignment horizontal="center" vertical="center"/>
    </xf>
    <xf numFmtId="0" fontId="53" fillId="39" borderId="16" xfId="0" applyFont="1" applyFill="1" applyBorder="1" applyAlignment="1">
      <alignment horizontal="left" vertical="center" wrapText="1"/>
    </xf>
    <xf numFmtId="0" fontId="5" fillId="39" borderId="5" xfId="1" applyFill="1" applyBorder="1" applyAlignment="1">
      <alignment vertical="center" wrapText="1"/>
    </xf>
    <xf numFmtId="0" fontId="12" fillId="39" borderId="10" xfId="0" applyFont="1" applyFill="1" applyBorder="1" applyAlignment="1">
      <alignment horizontal="left" vertical="top" wrapText="1"/>
    </xf>
    <xf numFmtId="0" fontId="11" fillId="39" borderId="15" xfId="0" applyFont="1" applyFill="1" applyBorder="1" applyAlignment="1">
      <alignment horizontal="center"/>
    </xf>
    <xf numFmtId="0" fontId="15" fillId="39" borderId="10" xfId="0" applyFont="1" applyFill="1" applyBorder="1" applyAlignment="1">
      <alignment horizontal="left" vertical="top" wrapText="1"/>
    </xf>
    <xf numFmtId="0" fontId="0" fillId="0" borderId="15" xfId="0" applyBorder="1" applyAlignment="1">
      <alignment horizontal="left"/>
    </xf>
    <xf numFmtId="0" fontId="0" fillId="0" borderId="117" xfId="0" applyBorder="1" applyAlignment="1">
      <alignment horizontal="center" vertical="center" wrapText="1"/>
    </xf>
    <xf numFmtId="0" fontId="0" fillId="0" borderId="117" xfId="0" applyBorder="1" applyAlignment="1">
      <alignment horizontal="center" vertical="center"/>
    </xf>
    <xf numFmtId="0" fontId="18" fillId="44" borderId="2" xfId="0" applyFont="1" applyFill="1" applyBorder="1" applyAlignment="1">
      <alignment horizontal="center" vertical="center" wrapText="1"/>
    </xf>
    <xf numFmtId="0" fontId="90" fillId="44" borderId="2" xfId="1" applyFont="1" applyFill="1" applyBorder="1"/>
    <xf numFmtId="0" fontId="94" fillId="39" borderId="17" xfId="0" applyFont="1" applyFill="1" applyBorder="1" applyAlignment="1">
      <alignment horizontal="center" vertical="center" wrapText="1"/>
    </xf>
    <xf numFmtId="0" fontId="94" fillId="40" borderId="117" xfId="1" applyFont="1" applyFill="1" applyBorder="1" applyAlignment="1">
      <alignment horizontal="left" vertical="center" wrapText="1"/>
    </xf>
    <xf numFmtId="0" fontId="0" fillId="40" borderId="117" xfId="0" applyFill="1" applyBorder="1" applyAlignment="1">
      <alignment horizontal="center" vertical="center"/>
    </xf>
    <xf numFmtId="1" fontId="0" fillId="40" borderId="117" xfId="0" applyNumberFormat="1" applyFill="1" applyBorder="1" applyAlignment="1">
      <alignment horizontal="center" vertical="center"/>
    </xf>
    <xf numFmtId="1" fontId="85" fillId="40" borderId="117" xfId="0" applyNumberFormat="1" applyFont="1" applyFill="1" applyBorder="1" applyAlignment="1">
      <alignment horizontal="center" vertical="center"/>
    </xf>
    <xf numFmtId="0" fontId="5" fillId="28" borderId="21" xfId="1" applyFill="1" applyBorder="1" applyAlignment="1">
      <alignment horizontal="center" vertical="center"/>
    </xf>
    <xf numFmtId="0" fontId="0" fillId="28" borderId="0" xfId="0" applyFill="1" applyAlignment="1">
      <alignment horizontal="left"/>
    </xf>
    <xf numFmtId="0" fontId="6" fillId="44" borderId="2" xfId="0" applyFont="1" applyFill="1" applyBorder="1" applyAlignment="1">
      <alignment vertical="center"/>
    </xf>
    <xf numFmtId="0" fontId="31" fillId="0" borderId="120" xfId="0" applyFont="1" applyBorder="1" applyAlignment="1">
      <alignment horizontal="center" vertical="center" wrapText="1"/>
    </xf>
    <xf numFmtId="0" fontId="31" fillId="29" borderId="120" xfId="0" applyFont="1" applyFill="1" applyBorder="1" applyAlignment="1">
      <alignment horizontal="center" vertical="center" wrapText="1"/>
    </xf>
    <xf numFmtId="0" fontId="94" fillId="44" borderId="10" xfId="0" applyFont="1" applyFill="1" applyBorder="1" applyAlignment="1">
      <alignment horizontal="left" vertical="top" wrapText="1"/>
    </xf>
    <xf numFmtId="0" fontId="0" fillId="44" borderId="117" xfId="0" applyFill="1" applyBorder="1" applyAlignment="1">
      <alignment horizontal="left" vertical="center"/>
    </xf>
    <xf numFmtId="0" fontId="88" fillId="44" borderId="117" xfId="0" applyFont="1" applyFill="1" applyBorder="1" applyAlignment="1">
      <alignment horizontal="center" vertical="center"/>
    </xf>
    <xf numFmtId="0" fontId="87" fillId="44" borderId="117" xfId="0" applyFont="1" applyFill="1" applyBorder="1" applyAlignment="1">
      <alignment horizontal="center"/>
    </xf>
    <xf numFmtId="0" fontId="0" fillId="44" borderId="117" xfId="0" applyFill="1" applyBorder="1" applyAlignment="1">
      <alignment horizontal="center" vertical="center" wrapText="1"/>
    </xf>
    <xf numFmtId="0" fontId="0" fillId="44" borderId="24" xfId="0" applyFill="1" applyBorder="1" applyAlignment="1">
      <alignment horizontal="left"/>
    </xf>
    <xf numFmtId="0" fontId="0" fillId="44" borderId="2" xfId="0" applyFill="1" applyBorder="1" applyAlignment="1">
      <alignment horizontal="center" vertical="center" wrapText="1"/>
    </xf>
    <xf numFmtId="0" fontId="0" fillId="44" borderId="111" xfId="0" applyFill="1" applyBorder="1" applyAlignment="1">
      <alignment horizontal="left"/>
    </xf>
    <xf numFmtId="0" fontId="30" fillId="44" borderId="0" xfId="0" applyFont="1" applyFill="1" applyAlignment="1">
      <alignment horizontal="center" vertical="center" wrapText="1"/>
    </xf>
    <xf numFmtId="0" fontId="0" fillId="44" borderId="15" xfId="0" applyFill="1" applyBorder="1" applyAlignment="1">
      <alignment horizontal="left"/>
    </xf>
    <xf numFmtId="0" fontId="94" fillId="44" borderId="2" xfId="0" applyFont="1" applyFill="1" applyBorder="1" applyAlignment="1">
      <alignment horizontal="center" vertical="center"/>
    </xf>
    <xf numFmtId="0" fontId="102" fillId="50" borderId="123" xfId="0" applyFont="1" applyFill="1" applyBorder="1" applyAlignment="1">
      <alignment horizontal="left" vertical="center"/>
    </xf>
    <xf numFmtId="0" fontId="0" fillId="51" borderId="123" xfId="0" applyFill="1" applyBorder="1" applyAlignment="1">
      <alignment horizontal="left" vertical="center"/>
    </xf>
    <xf numFmtId="0" fontId="0" fillId="52" borderId="123" xfId="0" applyFill="1" applyBorder="1" applyAlignment="1">
      <alignment horizontal="left" vertical="center"/>
    </xf>
    <xf numFmtId="0" fontId="0" fillId="44" borderId="123" xfId="0" applyFill="1" applyBorder="1" applyAlignment="1">
      <alignment horizontal="left" vertical="center"/>
    </xf>
    <xf numFmtId="0" fontId="102" fillId="54" borderId="123" xfId="0" applyFont="1" applyFill="1" applyBorder="1" applyAlignment="1">
      <alignment horizontal="left" vertical="center"/>
    </xf>
    <xf numFmtId="0" fontId="102" fillId="48" borderId="123" xfId="0" applyFont="1" applyFill="1" applyBorder="1" applyAlignment="1">
      <alignment horizontal="left" vertical="center"/>
    </xf>
    <xf numFmtId="0" fontId="0" fillId="53" borderId="123" xfId="0" applyFill="1" applyBorder="1" applyAlignment="1">
      <alignment horizontal="left" vertical="center"/>
    </xf>
    <xf numFmtId="0" fontId="102" fillId="50" borderId="123" xfId="0" applyFont="1" applyFill="1" applyBorder="1" applyAlignment="1">
      <alignment horizontal="center" vertical="center"/>
    </xf>
    <xf numFmtId="0" fontId="102" fillId="54" borderId="123" xfId="0" applyFont="1" applyFill="1" applyBorder="1" applyAlignment="1">
      <alignment horizontal="center" vertical="center"/>
    </xf>
    <xf numFmtId="0" fontId="102" fillId="48" borderId="123" xfId="0" applyFont="1" applyFill="1" applyBorder="1" applyAlignment="1">
      <alignment horizontal="center" vertical="center"/>
    </xf>
    <xf numFmtId="0" fontId="3" fillId="51" borderId="123" xfId="0" applyFont="1" applyFill="1" applyBorder="1" applyAlignment="1">
      <alignment horizontal="center" vertical="center"/>
    </xf>
    <xf numFmtId="0" fontId="3" fillId="52" borderId="123" xfId="0" applyFont="1" applyFill="1" applyBorder="1" applyAlignment="1">
      <alignment horizontal="center" vertical="center"/>
    </xf>
    <xf numFmtId="0" fontId="3" fillId="44" borderId="123" xfId="0" applyFont="1" applyFill="1" applyBorder="1" applyAlignment="1">
      <alignment horizontal="center" vertical="center"/>
    </xf>
    <xf numFmtId="0" fontId="103" fillId="44" borderId="123" xfId="0" applyFont="1" applyFill="1" applyBorder="1" applyAlignment="1">
      <alignment horizontal="center" vertical="center"/>
    </xf>
    <xf numFmtId="0" fontId="104" fillId="14" borderId="19" xfId="0" applyFont="1" applyFill="1" applyBorder="1" applyAlignment="1">
      <alignment horizontal="center" vertical="center"/>
    </xf>
    <xf numFmtId="0" fontId="104" fillId="41" borderId="19" xfId="0" applyFont="1" applyFill="1" applyBorder="1" applyAlignment="1">
      <alignment horizontal="center" vertical="center"/>
    </xf>
    <xf numFmtId="0" fontId="104" fillId="15" borderId="19" xfId="0" applyFont="1" applyFill="1" applyBorder="1" applyAlignment="1">
      <alignment horizontal="center" vertical="center" wrapText="1"/>
    </xf>
    <xf numFmtId="0" fontId="104" fillId="12" borderId="19" xfId="0" applyFont="1" applyFill="1" applyBorder="1" applyAlignment="1">
      <alignment horizontal="center" vertical="center" wrapText="1"/>
    </xf>
    <xf numFmtId="0" fontId="104" fillId="42" borderId="19" xfId="0" applyFont="1" applyFill="1" applyBorder="1" applyAlignment="1">
      <alignment horizontal="center" vertical="center" wrapText="1"/>
    </xf>
    <xf numFmtId="0" fontId="104" fillId="12" borderId="14" xfId="0" applyFont="1" applyFill="1" applyBorder="1" applyAlignment="1">
      <alignment horizontal="center" vertical="center"/>
    </xf>
    <xf numFmtId="0" fontId="3" fillId="53" borderId="124" xfId="0" applyFont="1" applyFill="1" applyBorder="1" applyAlignment="1">
      <alignment horizontal="center" vertical="center"/>
    </xf>
    <xf numFmtId="0" fontId="104" fillId="14" borderId="117" xfId="0" applyFont="1" applyFill="1" applyBorder="1" applyAlignment="1">
      <alignment horizontal="center" vertical="center"/>
    </xf>
    <xf numFmtId="0" fontId="104" fillId="41" borderId="117" xfId="0" applyFont="1" applyFill="1" applyBorder="1" applyAlignment="1">
      <alignment horizontal="center" vertical="center"/>
    </xf>
    <xf numFmtId="0" fontId="104" fillId="15" borderId="117" xfId="0" applyFont="1" applyFill="1" applyBorder="1" applyAlignment="1">
      <alignment horizontal="center" vertical="center" wrapText="1"/>
    </xf>
    <xf numFmtId="0" fontId="104" fillId="12" borderId="117" xfId="0" applyFont="1" applyFill="1" applyBorder="1" applyAlignment="1">
      <alignment horizontal="center" vertical="center" wrapText="1"/>
    </xf>
    <xf numFmtId="0" fontId="104" fillId="42" borderId="117" xfId="0" applyFont="1" applyFill="1" applyBorder="1" applyAlignment="1">
      <alignment horizontal="center" vertical="center" wrapText="1"/>
    </xf>
    <xf numFmtId="0" fontId="104" fillId="12" borderId="117" xfId="0" applyFont="1" applyFill="1" applyBorder="1" applyAlignment="1">
      <alignment horizontal="center" vertical="center"/>
    </xf>
    <xf numFmtId="1" fontId="3" fillId="0" borderId="117" xfId="0" applyNumberFormat="1" applyFont="1" applyBorder="1" applyAlignment="1">
      <alignment horizontal="center"/>
    </xf>
    <xf numFmtId="0" fontId="105" fillId="56" borderId="117" xfId="0" applyFont="1" applyFill="1" applyBorder="1" applyAlignment="1">
      <alignment horizontal="center" vertical="center" wrapText="1"/>
    </xf>
    <xf numFmtId="0" fontId="106" fillId="29" borderId="117" xfId="0" applyFont="1" applyFill="1" applyBorder="1" applyAlignment="1">
      <alignment horizontal="center" vertical="center" wrapText="1"/>
    </xf>
    <xf numFmtId="0" fontId="106" fillId="55" borderId="117" xfId="0" applyFont="1" applyFill="1" applyBorder="1" applyAlignment="1">
      <alignment horizontal="center" vertical="center" wrapText="1"/>
    </xf>
    <xf numFmtId="0" fontId="106" fillId="57" borderId="117" xfId="0" applyFont="1" applyFill="1" applyBorder="1" applyAlignment="1">
      <alignment horizontal="center" vertical="center" wrapText="1"/>
    </xf>
    <xf numFmtId="0" fontId="106" fillId="58" borderId="117" xfId="0" applyFont="1" applyFill="1" applyBorder="1" applyAlignment="1">
      <alignment horizontal="center" vertical="center" wrapText="1"/>
    </xf>
    <xf numFmtId="0" fontId="107" fillId="29" borderId="117" xfId="0" applyFont="1" applyFill="1" applyBorder="1" applyAlignment="1">
      <alignment horizontal="center" vertical="center" wrapText="1"/>
    </xf>
    <xf numFmtId="0" fontId="53" fillId="28" borderId="16" xfId="0" applyFont="1" applyFill="1" applyBorder="1" applyAlignment="1">
      <alignment horizontal="left" vertical="center" wrapText="1"/>
    </xf>
    <xf numFmtId="0" fontId="12" fillId="0" borderId="10" xfId="0" applyFont="1" applyBorder="1" applyAlignment="1">
      <alignment vertical="center" wrapText="1"/>
    </xf>
    <xf numFmtId="0" fontId="42" fillId="0" borderId="122" xfId="0" applyFont="1" applyBorder="1" applyAlignment="1">
      <alignment horizontal="left" vertical="center"/>
    </xf>
    <xf numFmtId="0" fontId="108" fillId="10" borderId="117" xfId="0" applyFont="1" applyFill="1" applyBorder="1" applyAlignment="1">
      <alignment horizontal="center" vertical="center" wrapText="1"/>
    </xf>
    <xf numFmtId="0" fontId="111" fillId="0" borderId="117" xfId="0" applyFont="1" applyBorder="1" applyAlignment="1">
      <alignment horizontal="center" vertical="center" wrapText="1" readingOrder="1"/>
    </xf>
    <xf numFmtId="15" fontId="111" fillId="0" borderId="117" xfId="0" applyNumberFormat="1" applyFont="1" applyBorder="1" applyAlignment="1">
      <alignment horizontal="center" vertical="center" wrapText="1" readingOrder="1"/>
    </xf>
    <xf numFmtId="0" fontId="110" fillId="9" borderId="117" xfId="0" applyFont="1" applyFill="1" applyBorder="1" applyAlignment="1">
      <alignment horizontal="center" vertical="center" wrapText="1"/>
    </xf>
    <xf numFmtId="0" fontId="109" fillId="9" borderId="117" xfId="0" applyFont="1" applyFill="1" applyBorder="1" applyAlignment="1">
      <alignment horizontal="center" vertical="center" wrapText="1"/>
    </xf>
    <xf numFmtId="0" fontId="33" fillId="0" borderId="117" xfId="0" applyFont="1" applyBorder="1" applyAlignment="1">
      <alignment horizontal="center" vertical="center" wrapText="1"/>
    </xf>
    <xf numFmtId="0" fontId="113" fillId="0" borderId="117" xfId="1" applyFont="1" applyBorder="1" applyAlignment="1">
      <alignment horizontal="center" vertical="center" wrapText="1"/>
    </xf>
    <xf numFmtId="0" fontId="33" fillId="59" borderId="117" xfId="0" applyFont="1" applyFill="1" applyBorder="1" applyAlignment="1">
      <alignment horizontal="center" vertical="center" wrapText="1"/>
    </xf>
    <xf numFmtId="0" fontId="32" fillId="8" borderId="117" xfId="0" applyFont="1" applyFill="1" applyBorder="1" applyAlignment="1">
      <alignment horizontal="center" vertical="center" wrapText="1"/>
    </xf>
    <xf numFmtId="0" fontId="33" fillId="0" borderId="0" xfId="0" applyFont="1" applyAlignment="1">
      <alignment horizontal="center" vertical="center" wrapText="1"/>
    </xf>
    <xf numFmtId="0" fontId="113" fillId="0" borderId="0" xfId="1" applyFont="1" applyBorder="1" applyAlignment="1">
      <alignment horizontal="center" vertical="center" wrapText="1"/>
    </xf>
    <xf numFmtId="0" fontId="33" fillId="59" borderId="0" xfId="0" applyFont="1" applyFill="1" applyAlignment="1">
      <alignment horizontal="center" vertical="center" wrapText="1"/>
    </xf>
    <xf numFmtId="0" fontId="114" fillId="8" borderId="117" xfId="0" applyFont="1" applyFill="1" applyBorder="1" applyAlignment="1">
      <alignment horizontal="center" vertical="center" wrapText="1" readingOrder="1"/>
    </xf>
    <xf numFmtId="0" fontId="112" fillId="0" borderId="117" xfId="0" applyFont="1" applyBorder="1" applyAlignment="1">
      <alignment horizontal="center" vertical="center" wrapText="1" readingOrder="1"/>
    </xf>
    <xf numFmtId="0" fontId="115" fillId="0" borderId="117" xfId="1" applyFont="1" applyBorder="1" applyAlignment="1">
      <alignment horizontal="center" vertical="center" wrapText="1" readingOrder="1"/>
    </xf>
    <xf numFmtId="0" fontId="112" fillId="59" borderId="117" xfId="0" applyFont="1" applyFill="1" applyBorder="1" applyAlignment="1">
      <alignment horizontal="center" vertical="center" wrapText="1" readingOrder="1"/>
    </xf>
    <xf numFmtId="0" fontId="112" fillId="9" borderId="117" xfId="0" applyFont="1" applyFill="1" applyBorder="1" applyAlignment="1">
      <alignment horizontal="center" vertical="center" wrapText="1" readingOrder="1"/>
    </xf>
    <xf numFmtId="0" fontId="112" fillId="0" borderId="117" xfId="0" applyFont="1" applyBorder="1" applyAlignment="1">
      <alignment horizontal="center" vertical="center" wrapText="1"/>
    </xf>
    <xf numFmtId="0" fontId="115" fillId="0" borderId="117" xfId="1" applyFont="1" applyBorder="1" applyAlignment="1">
      <alignment horizontal="center" vertical="center" wrapText="1"/>
    </xf>
    <xf numFmtId="0" fontId="112" fillId="59" borderId="117" xfId="0" applyFont="1" applyFill="1" applyBorder="1" applyAlignment="1">
      <alignment horizontal="center" vertical="center" wrapText="1"/>
    </xf>
    <xf numFmtId="0" fontId="112" fillId="9" borderId="117" xfId="0" applyFont="1" applyFill="1" applyBorder="1" applyAlignment="1">
      <alignment horizontal="center" vertical="center" wrapText="1"/>
    </xf>
    <xf numFmtId="0" fontId="115" fillId="9" borderId="117" xfId="1" applyFont="1" applyFill="1" applyBorder="1" applyAlignment="1">
      <alignment horizontal="center" vertical="center" wrapText="1"/>
    </xf>
    <xf numFmtId="0" fontId="112" fillId="0" borderId="125" xfId="0" applyFont="1" applyBorder="1" applyAlignment="1">
      <alignment horizontal="center" vertical="center" wrapText="1"/>
    </xf>
    <xf numFmtId="0" fontId="115" fillId="0" borderId="125" xfId="1" applyFont="1" applyBorder="1" applyAlignment="1">
      <alignment horizontal="center" vertical="center" wrapText="1"/>
    </xf>
    <xf numFmtId="0" fontId="112" fillId="59" borderId="125" xfId="0" applyFont="1" applyFill="1" applyBorder="1" applyAlignment="1">
      <alignment horizontal="center" vertical="center" wrapText="1"/>
    </xf>
    <xf numFmtId="0" fontId="116" fillId="47" borderId="117" xfId="0" applyFont="1" applyFill="1" applyBorder="1" applyAlignment="1">
      <alignment horizontal="center" vertical="center" wrapText="1"/>
    </xf>
    <xf numFmtId="0" fontId="66" fillId="0" borderId="10" xfId="0" applyFont="1" applyBorder="1" applyAlignment="1">
      <alignment horizontal="left" vertical="top" wrapText="1"/>
    </xf>
    <xf numFmtId="0" fontId="70" fillId="39" borderId="115" xfId="1" applyFont="1" applyFill="1" applyBorder="1" applyAlignment="1">
      <alignment horizontal="center" vertical="center" wrapText="1"/>
    </xf>
    <xf numFmtId="0" fontId="11" fillId="28" borderId="10" xfId="0" applyFont="1" applyFill="1" applyBorder="1" applyAlignment="1">
      <alignment horizontal="center" vertical="center"/>
    </xf>
    <xf numFmtId="0" fontId="11" fillId="28" borderId="16" xfId="0" applyFont="1" applyFill="1" applyBorder="1" applyAlignment="1">
      <alignment horizontal="center" vertical="center"/>
    </xf>
    <xf numFmtId="0" fontId="11" fillId="28" borderId="15" xfId="0" applyFont="1" applyFill="1" applyBorder="1" applyAlignment="1">
      <alignment horizontal="center" vertical="center" wrapText="1"/>
    </xf>
    <xf numFmtId="0" fontId="70" fillId="28" borderId="115" xfId="1" applyFont="1" applyFill="1" applyBorder="1" applyAlignment="1">
      <alignment horizontal="center" vertical="center" wrapText="1"/>
    </xf>
    <xf numFmtId="0" fontId="11" fillId="28" borderId="21" xfId="0" applyFont="1" applyFill="1" applyBorder="1" applyAlignment="1">
      <alignment wrapText="1"/>
    </xf>
    <xf numFmtId="0" fontId="11" fillId="28" borderId="15" xfId="0" applyFont="1" applyFill="1" applyBorder="1" applyAlignment="1">
      <alignment horizontal="center"/>
    </xf>
    <xf numFmtId="0" fontId="91" fillId="28" borderId="10" xfId="0" applyFont="1" applyFill="1" applyBorder="1" applyAlignment="1">
      <alignment horizontal="left" vertical="top" wrapText="1"/>
    </xf>
    <xf numFmtId="0" fontId="11" fillId="28" borderId="16" xfId="0" applyFont="1" applyFill="1" applyBorder="1" applyAlignment="1">
      <alignment horizontal="left" vertical="top" wrapText="1"/>
    </xf>
    <xf numFmtId="0" fontId="11" fillId="28" borderId="21" xfId="0" applyFont="1" applyFill="1" applyBorder="1" applyAlignment="1">
      <alignment horizontal="left" vertical="top"/>
    </xf>
    <xf numFmtId="0" fontId="11" fillId="28" borderId="10" xfId="0" applyFont="1" applyFill="1" applyBorder="1" applyAlignment="1">
      <alignment wrapText="1"/>
    </xf>
    <xf numFmtId="0" fontId="18" fillId="44" borderId="10" xfId="0" applyFont="1" applyFill="1" applyBorder="1" applyAlignment="1">
      <alignment horizontal="center" wrapText="1"/>
    </xf>
    <xf numFmtId="0" fontId="31" fillId="46" borderId="120" xfId="0" applyFont="1" applyFill="1" applyBorder="1" applyAlignment="1">
      <alignment horizontal="center" vertical="center" wrapText="1"/>
    </xf>
    <xf numFmtId="16" fontId="31" fillId="0" borderId="120" xfId="0" applyNumberFormat="1" applyFont="1" applyBorder="1" applyAlignment="1">
      <alignment horizontal="center" vertical="center" wrapText="1"/>
    </xf>
    <xf numFmtId="0" fontId="31" fillId="60" borderId="120" xfId="0" applyFont="1" applyFill="1" applyBorder="1" applyAlignment="1">
      <alignment horizontal="center" vertical="center" wrapText="1"/>
    </xf>
    <xf numFmtId="0" fontId="31" fillId="0" borderId="120" xfId="0" applyFont="1" applyBorder="1" applyAlignment="1">
      <alignment horizontal="center" vertical="center"/>
    </xf>
    <xf numFmtId="0" fontId="101" fillId="0" borderId="120" xfId="0" applyFont="1" applyBorder="1" applyAlignment="1">
      <alignment horizontal="center" vertical="center" wrapText="1"/>
    </xf>
    <xf numFmtId="0" fontId="101" fillId="47" borderId="119" xfId="0" applyFont="1" applyFill="1" applyBorder="1" applyAlignment="1">
      <alignment horizontal="center" vertical="center" wrapText="1"/>
    </xf>
    <xf numFmtId="0" fontId="31" fillId="49" borderId="120" xfId="0" applyFont="1" applyFill="1" applyBorder="1" applyAlignment="1">
      <alignment horizontal="center" vertical="center" wrapText="1"/>
    </xf>
    <xf numFmtId="0" fontId="121" fillId="0" borderId="0" xfId="0" applyFont="1"/>
    <xf numFmtId="0" fontId="125" fillId="0" borderId="0" xfId="0" applyFont="1"/>
    <xf numFmtId="0" fontId="0" fillId="44" borderId="0" xfId="0" applyFill="1" applyAlignment="1">
      <alignment horizontal="left"/>
    </xf>
    <xf numFmtId="0" fontId="0" fillId="44" borderId="0" xfId="0" applyFill="1"/>
    <xf numFmtId="0" fontId="126" fillId="11" borderId="0" xfId="1" applyFont="1" applyFill="1"/>
    <xf numFmtId="0" fontId="126" fillId="0" borderId="0" xfId="1" applyFont="1"/>
    <xf numFmtId="0" fontId="127" fillId="0" borderId="0" xfId="0" applyFont="1"/>
    <xf numFmtId="0" fontId="127" fillId="11" borderId="0" xfId="0" applyFont="1" applyFill="1"/>
    <xf numFmtId="0" fontId="128" fillId="12" borderId="117" xfId="0" applyFont="1" applyFill="1" applyBorder="1" applyAlignment="1">
      <alignment horizontal="center"/>
    </xf>
    <xf numFmtId="0" fontId="128" fillId="14" borderId="117" xfId="0" applyFont="1" applyFill="1" applyBorder="1" applyAlignment="1">
      <alignment horizontal="center"/>
    </xf>
    <xf numFmtId="0" fontId="128" fillId="41" borderId="117" xfId="0" applyFont="1" applyFill="1" applyBorder="1" applyAlignment="1">
      <alignment horizontal="center"/>
    </xf>
    <xf numFmtId="0" fontId="128" fillId="15" borderId="117" xfId="0" applyFont="1" applyFill="1" applyBorder="1" applyAlignment="1">
      <alignment horizontal="center"/>
    </xf>
    <xf numFmtId="0" fontId="128" fillId="42" borderId="117" xfId="0" applyFont="1" applyFill="1" applyBorder="1" applyAlignment="1">
      <alignment horizontal="center"/>
    </xf>
    <xf numFmtId="0" fontId="128" fillId="12" borderId="0" xfId="0" applyFont="1" applyFill="1" applyAlignment="1">
      <alignment horizontal="center"/>
    </xf>
    <xf numFmtId="0" fontId="128" fillId="12" borderId="14" xfId="0" applyFont="1" applyFill="1" applyBorder="1" applyAlignment="1">
      <alignment horizontal="center"/>
    </xf>
    <xf numFmtId="0" fontId="121" fillId="28" borderId="117" xfId="0" applyFont="1" applyFill="1" applyBorder="1" applyAlignment="1">
      <alignment horizontal="left" vertical="center"/>
    </xf>
    <xf numFmtId="0" fontId="121" fillId="28" borderId="117" xfId="0" applyFont="1" applyFill="1" applyBorder="1" applyAlignment="1">
      <alignment horizontal="center" vertical="center"/>
    </xf>
    <xf numFmtId="0" fontId="120" fillId="28" borderId="117" xfId="0" applyFont="1" applyFill="1" applyBorder="1" applyAlignment="1">
      <alignment horizontal="center" vertical="center"/>
    </xf>
    <xf numFmtId="0" fontId="119" fillId="28" borderId="117" xfId="0" applyFont="1" applyFill="1" applyBorder="1" applyAlignment="1">
      <alignment horizontal="center"/>
    </xf>
    <xf numFmtId="1" fontId="121" fillId="28" borderId="117" xfId="0" applyNumberFormat="1" applyFont="1" applyFill="1" applyBorder="1" applyAlignment="1">
      <alignment horizontal="center" vertical="center"/>
    </xf>
    <xf numFmtId="0" fontId="121" fillId="28" borderId="117" xfId="0" applyFont="1" applyFill="1" applyBorder="1" applyAlignment="1">
      <alignment horizontal="center" vertical="center" wrapText="1"/>
    </xf>
    <xf numFmtId="0" fontId="121" fillId="28" borderId="24" xfId="0" applyFont="1" applyFill="1" applyBorder="1" applyAlignment="1">
      <alignment horizontal="left"/>
    </xf>
    <xf numFmtId="0" fontId="121" fillId="28" borderId="111" xfId="0" applyFont="1" applyFill="1" applyBorder="1" applyAlignment="1">
      <alignment horizontal="left"/>
    </xf>
    <xf numFmtId="0" fontId="129" fillId="28" borderId="117" xfId="1" applyFont="1" applyFill="1" applyBorder="1" applyAlignment="1">
      <alignment horizontal="left" vertical="center"/>
    </xf>
    <xf numFmtId="0" fontId="121" fillId="28" borderId="15" xfId="0" applyFont="1" applyFill="1" applyBorder="1" applyAlignment="1">
      <alignment horizontal="left"/>
    </xf>
    <xf numFmtId="0" fontId="129" fillId="28" borderId="117" xfId="1" applyFont="1" applyFill="1" applyBorder="1" applyAlignment="1">
      <alignment horizontal="left" vertical="center" wrapText="1"/>
    </xf>
    <xf numFmtId="0" fontId="121" fillId="28" borderId="122" xfId="0" applyFont="1" applyFill="1" applyBorder="1" applyAlignment="1">
      <alignment horizontal="left"/>
    </xf>
    <xf numFmtId="0" fontId="121" fillId="28" borderId="0" xfId="0" applyFont="1" applyFill="1" applyAlignment="1">
      <alignment horizontal="left"/>
    </xf>
    <xf numFmtId="0" fontId="128" fillId="12" borderId="0" xfId="0" applyFont="1" applyFill="1" applyAlignment="1">
      <alignment horizontal="center" vertical="center"/>
    </xf>
    <xf numFmtId="0" fontId="121" fillId="0" borderId="0" xfId="0" applyFont="1" applyAlignment="1">
      <alignment horizontal="left"/>
    </xf>
    <xf numFmtId="1" fontId="121" fillId="0" borderId="0" xfId="0" applyNumberFormat="1" applyFont="1"/>
    <xf numFmtId="0" fontId="121" fillId="28" borderId="123" xfId="0" applyFont="1" applyFill="1" applyBorder="1" applyAlignment="1">
      <alignment horizontal="center" vertical="center" wrapText="1"/>
    </xf>
    <xf numFmtId="0" fontId="120" fillId="28" borderId="123" xfId="0" applyFont="1" applyFill="1" applyBorder="1" applyAlignment="1">
      <alignment horizontal="center" vertical="center" wrapText="1"/>
    </xf>
    <xf numFmtId="0" fontId="121" fillId="28" borderId="123" xfId="0" applyFont="1" applyFill="1" applyBorder="1"/>
    <xf numFmtId="0" fontId="128" fillId="14" borderId="123" xfId="0" applyFont="1" applyFill="1" applyBorder="1" applyAlignment="1">
      <alignment horizontal="center" vertical="center"/>
    </xf>
    <xf numFmtId="0" fontId="128" fillId="41" borderId="123" xfId="0" applyFont="1" applyFill="1" applyBorder="1" applyAlignment="1">
      <alignment horizontal="center" vertical="center"/>
    </xf>
    <xf numFmtId="0" fontId="128" fillId="15" borderId="123" xfId="0" applyFont="1" applyFill="1" applyBorder="1" applyAlignment="1">
      <alignment horizontal="center" vertical="center"/>
    </xf>
    <xf numFmtId="0" fontId="128" fillId="12" borderId="123" xfId="0" applyFont="1" applyFill="1" applyBorder="1" applyAlignment="1">
      <alignment horizontal="center" vertical="center"/>
    </xf>
    <xf numFmtId="0" fontId="128" fillId="42" borderId="123" xfId="0" applyFont="1" applyFill="1" applyBorder="1" applyAlignment="1">
      <alignment horizontal="center" vertical="center"/>
    </xf>
    <xf numFmtId="1" fontId="121" fillId="0" borderId="123" xfId="0" applyNumberFormat="1" applyFont="1" applyBorder="1" applyAlignment="1">
      <alignment horizontal="center" vertical="center"/>
    </xf>
    <xf numFmtId="0" fontId="0" fillId="44" borderId="121" xfId="0" applyFill="1" applyBorder="1" applyAlignment="1">
      <alignment horizontal="center" vertical="center" wrapText="1"/>
    </xf>
    <xf numFmtId="0" fontId="129" fillId="28" borderId="126" xfId="1" applyFont="1" applyFill="1" applyBorder="1" applyAlignment="1">
      <alignment horizontal="left" vertical="center" wrapText="1"/>
    </xf>
    <xf numFmtId="0" fontId="121" fillId="28" borderId="123" xfId="0" applyFont="1" applyFill="1" applyBorder="1" applyAlignment="1">
      <alignment horizontal="center" vertical="center"/>
    </xf>
    <xf numFmtId="0" fontId="120" fillId="28" borderId="123" xfId="0" applyFont="1" applyFill="1" applyBorder="1" applyAlignment="1">
      <alignment horizontal="center" vertical="center"/>
    </xf>
    <xf numFmtId="1" fontId="121" fillId="28" borderId="123" xfId="0" applyNumberFormat="1" applyFont="1" applyFill="1" applyBorder="1" applyAlignment="1">
      <alignment horizontal="center" vertical="center"/>
    </xf>
    <xf numFmtId="0" fontId="130" fillId="28" borderId="126" xfId="1" applyFont="1" applyFill="1" applyBorder="1" applyAlignment="1">
      <alignment horizontal="left" vertical="center" wrapText="1"/>
    </xf>
    <xf numFmtId="0" fontId="26" fillId="28" borderId="123" xfId="0" applyFont="1" applyFill="1" applyBorder="1" applyAlignment="1">
      <alignment horizontal="center" vertical="center"/>
    </xf>
    <xf numFmtId="0" fontId="45" fillId="28" borderId="123" xfId="0" applyFont="1" applyFill="1" applyBorder="1" applyAlignment="1">
      <alignment horizontal="center" vertical="center"/>
    </xf>
    <xf numFmtId="1" fontId="26" fillId="28" borderId="123" xfId="0" applyNumberFormat="1" applyFont="1" applyFill="1" applyBorder="1" applyAlignment="1">
      <alignment horizontal="center" vertical="center"/>
    </xf>
    <xf numFmtId="0" fontId="26" fillId="28" borderId="118" xfId="0" applyFont="1" applyFill="1" applyBorder="1" applyAlignment="1">
      <alignment horizontal="center" vertical="center"/>
    </xf>
    <xf numFmtId="0" fontId="26" fillId="28" borderId="123" xfId="0" applyFont="1" applyFill="1" applyBorder="1"/>
    <xf numFmtId="0" fontId="132" fillId="9" borderId="3" xfId="0" applyFont="1" applyFill="1" applyBorder="1" applyAlignment="1">
      <alignment horizontal="center" vertical="center" wrapText="1"/>
    </xf>
    <xf numFmtId="0" fontId="100" fillId="9" borderId="3" xfId="0" applyFont="1" applyFill="1" applyBorder="1" applyAlignment="1">
      <alignment horizontal="center" vertical="center" wrapText="1"/>
    </xf>
    <xf numFmtId="0" fontId="100" fillId="38" borderId="3" xfId="0" applyFont="1" applyFill="1" applyBorder="1" applyAlignment="1">
      <alignment horizontal="center" vertical="center" wrapText="1"/>
    </xf>
    <xf numFmtId="0" fontId="100" fillId="43" borderId="3" xfId="0" applyFont="1" applyFill="1" applyBorder="1" applyAlignment="1">
      <alignment horizontal="center" vertical="center" wrapText="1"/>
    </xf>
    <xf numFmtId="0" fontId="100" fillId="48" borderId="3" xfId="0" applyFont="1" applyFill="1" applyBorder="1" applyAlignment="1">
      <alignment horizontal="center" vertical="center" wrapText="1"/>
    </xf>
    <xf numFmtId="0" fontId="24" fillId="0" borderId="117" xfId="0" applyFont="1" applyBorder="1" applyAlignment="1">
      <alignment horizontal="center" vertical="center"/>
    </xf>
    <xf numFmtId="0" fontId="121" fillId="0" borderId="117" xfId="0" applyFont="1" applyBorder="1" applyAlignment="1">
      <alignment horizontal="center" vertical="center"/>
    </xf>
    <xf numFmtId="0" fontId="100" fillId="44" borderId="3" xfId="0" applyFont="1" applyFill="1" applyBorder="1" applyAlignment="1">
      <alignment horizontal="center" vertical="center" wrapText="1"/>
    </xf>
    <xf numFmtId="0" fontId="26" fillId="0" borderId="117" xfId="0" applyFont="1" applyBorder="1" applyAlignment="1">
      <alignment horizontal="center" vertical="center"/>
    </xf>
    <xf numFmtId="0" fontId="118" fillId="10" borderId="117" xfId="0" applyFont="1" applyFill="1" applyBorder="1" applyAlignment="1">
      <alignment horizontal="center" vertical="center" wrapText="1"/>
    </xf>
    <xf numFmtId="0" fontId="119" fillId="0" borderId="117" xfId="0" applyFont="1" applyBorder="1" applyAlignment="1">
      <alignment horizontal="center" vertical="center"/>
    </xf>
    <xf numFmtId="1" fontId="120" fillId="0" borderId="117" xfId="0" applyNumberFormat="1" applyFont="1" applyBorder="1" applyAlignment="1">
      <alignment horizontal="center" vertical="center"/>
    </xf>
    <xf numFmtId="0" fontId="120" fillId="0" borderId="117" xfId="0" applyFont="1" applyBorder="1" applyAlignment="1">
      <alignment horizontal="center" vertical="center"/>
    </xf>
    <xf numFmtId="0" fontId="45" fillId="0" borderId="117" xfId="0" applyFont="1" applyBorder="1" applyAlignment="1">
      <alignment horizontal="center" vertical="center"/>
    </xf>
    <xf numFmtId="1" fontId="120" fillId="0" borderId="117" xfId="0" quotePrefix="1" applyNumberFormat="1" applyFont="1" applyBorder="1" applyAlignment="1">
      <alignment horizontal="center" vertical="center"/>
    </xf>
    <xf numFmtId="0" fontId="120" fillId="0" borderId="117" xfId="0" applyFont="1" applyBorder="1" applyAlignment="1">
      <alignment horizontal="center" vertical="center" wrapText="1"/>
    </xf>
    <xf numFmtId="0" fontId="121" fillId="0" borderId="117" xfId="0" applyFont="1" applyBorder="1" applyAlignment="1">
      <alignment horizontal="center"/>
    </xf>
    <xf numFmtId="0" fontId="121" fillId="0" borderId="117" xfId="0" applyFont="1" applyBorder="1"/>
    <xf numFmtId="0" fontId="0" fillId="0" borderId="117" xfId="0" applyBorder="1"/>
    <xf numFmtId="0" fontId="122" fillId="10" borderId="117" xfId="0" applyFont="1" applyFill="1" applyBorder="1" applyAlignment="1">
      <alignment horizontal="center" vertical="center"/>
    </xf>
    <xf numFmtId="0" fontId="118" fillId="10" borderId="117" xfId="0" applyFont="1" applyFill="1" applyBorder="1" applyAlignment="1">
      <alignment horizontal="center" vertical="center"/>
    </xf>
    <xf numFmtId="0" fontId="120" fillId="33" borderId="117" xfId="0" applyFont="1" applyFill="1" applyBorder="1" applyAlignment="1">
      <alignment horizontal="center" vertical="center"/>
    </xf>
    <xf numFmtId="0" fontId="120" fillId="11" borderId="117" xfId="0" applyFont="1" applyFill="1" applyBorder="1" applyAlignment="1">
      <alignment horizontal="center" vertical="center"/>
    </xf>
    <xf numFmtId="0" fontId="123" fillId="32" borderId="117" xfId="0" applyFont="1" applyFill="1" applyBorder="1" applyAlignment="1">
      <alignment horizontal="center" vertical="center"/>
    </xf>
    <xf numFmtId="0" fontId="121" fillId="0" borderId="117" xfId="0" applyFont="1" applyBorder="1" applyAlignment="1">
      <alignment horizontal="left"/>
    </xf>
    <xf numFmtId="0" fontId="124" fillId="29" borderId="117" xfId="0" applyFont="1" applyFill="1" applyBorder="1" applyAlignment="1">
      <alignment horizontal="center" vertical="center" wrapText="1"/>
    </xf>
    <xf numFmtId="0" fontId="120" fillId="29" borderId="117" xfId="0" applyFont="1" applyFill="1" applyBorder="1" applyAlignment="1">
      <alignment horizontal="center" vertical="center"/>
    </xf>
    <xf numFmtId="0" fontId="120" fillId="29" borderId="117" xfId="0" applyFont="1" applyFill="1" applyBorder="1" applyAlignment="1">
      <alignment vertical="center"/>
    </xf>
    <xf numFmtId="0" fontId="120" fillId="0" borderId="117" xfId="0" applyFont="1" applyBorder="1" applyAlignment="1">
      <alignment horizontal="left" vertical="center"/>
    </xf>
    <xf numFmtId="9" fontId="120" fillId="29" borderId="117" xfId="0" applyNumberFormat="1" applyFont="1" applyFill="1" applyBorder="1" applyAlignment="1">
      <alignment vertical="center"/>
    </xf>
    <xf numFmtId="0" fontId="6" fillId="3" borderId="1" xfId="0" applyFont="1" applyFill="1" applyBorder="1" applyAlignment="1">
      <alignment horizontal="center"/>
    </xf>
    <xf numFmtId="0" fontId="4" fillId="2" borderId="1" xfId="0" applyFont="1" applyFill="1" applyBorder="1" applyAlignment="1">
      <alignment horizontal="center"/>
    </xf>
    <xf numFmtId="0" fontId="16" fillId="11" borderId="124" xfId="0" applyFont="1" applyFill="1" applyBorder="1" applyAlignment="1">
      <alignment horizontal="left"/>
    </xf>
    <xf numFmtId="0" fontId="16" fillId="11" borderId="123" xfId="0" applyFont="1" applyFill="1" applyBorder="1" applyAlignment="1">
      <alignment horizontal="left"/>
    </xf>
    <xf numFmtId="0" fontId="117" fillId="11" borderId="124" xfId="0" applyFont="1" applyFill="1" applyBorder="1" applyAlignment="1">
      <alignment horizontal="left"/>
    </xf>
    <xf numFmtId="0" fontId="117" fillId="11" borderId="123" xfId="0" applyFont="1" applyFill="1" applyBorder="1" applyAlignment="1">
      <alignment horizontal="left"/>
    </xf>
    <xf numFmtId="0" fontId="56" fillId="48" borderId="123" xfId="0" applyFont="1" applyFill="1" applyBorder="1" applyAlignment="1">
      <alignment horizontal="center" vertical="center"/>
    </xf>
    <xf numFmtId="0" fontId="3" fillId="48" borderId="123" xfId="0" applyFont="1" applyFill="1" applyBorder="1" applyAlignment="1">
      <alignment horizontal="center" vertical="center"/>
    </xf>
    <xf numFmtId="0" fontId="131" fillId="32" borderId="127" xfId="0" applyFont="1" applyFill="1" applyBorder="1" applyAlignment="1">
      <alignment horizontal="center" vertical="center" wrapText="1"/>
    </xf>
    <xf numFmtId="0" fontId="131" fillId="32" borderId="128" xfId="0" applyFont="1" applyFill="1" applyBorder="1" applyAlignment="1">
      <alignment horizontal="center" vertical="center" wrapText="1"/>
    </xf>
    <xf numFmtId="0" fontId="59" fillId="0" borderId="117" xfId="0" applyFont="1" applyBorder="1" applyAlignment="1">
      <alignment horizontal="center" vertical="center"/>
    </xf>
    <xf numFmtId="0" fontId="119" fillId="0" borderId="117" xfId="0" applyFont="1" applyBorder="1" applyAlignment="1">
      <alignment horizontal="center" vertical="center" wrapText="1"/>
    </xf>
    <xf numFmtId="0" fontId="119" fillId="0" borderId="117" xfId="0" applyFont="1" applyBorder="1" applyAlignment="1">
      <alignment horizontal="center" vertical="center"/>
    </xf>
    <xf numFmtId="0" fontId="37" fillId="0" borderId="101" xfId="0" applyFont="1" applyBorder="1" applyAlignment="1">
      <alignment horizontal="left" vertical="center" wrapText="1"/>
    </xf>
    <xf numFmtId="0" fontId="37" fillId="0" borderId="47" xfId="0" applyFont="1" applyBorder="1" applyAlignment="1">
      <alignment horizontal="left" vertical="center" wrapText="1"/>
    </xf>
    <xf numFmtId="0" fontId="37" fillId="0" borderId="104" xfId="0" applyFont="1" applyBorder="1" applyAlignment="1">
      <alignment horizontal="left" vertical="center" wrapText="1"/>
    </xf>
    <xf numFmtId="0" fontId="117" fillId="11" borderId="117" xfId="0" applyFont="1" applyFill="1" applyBorder="1" applyAlignment="1">
      <alignment horizontal="center" vertical="center"/>
    </xf>
    <xf numFmtId="0" fontId="23" fillId="20" borderId="84" xfId="0" applyFont="1" applyFill="1" applyBorder="1" applyAlignment="1">
      <alignment horizontal="center" vertical="center"/>
    </xf>
    <xf numFmtId="0" fontId="23" fillId="20" borderId="72" xfId="0" applyFont="1" applyFill="1" applyBorder="1" applyAlignment="1">
      <alignment horizontal="center" vertical="center"/>
    </xf>
    <xf numFmtId="0" fontId="2" fillId="6" borderId="76" xfId="0" applyFont="1" applyFill="1" applyBorder="1" applyAlignment="1">
      <alignment horizontal="center" vertical="center"/>
    </xf>
    <xf numFmtId="0" fontId="0" fillId="11" borderId="102" xfId="0" applyFill="1" applyBorder="1" applyAlignment="1">
      <alignment horizontal="center" vertical="center" textRotation="90"/>
    </xf>
    <xf numFmtId="0" fontId="0" fillId="21" borderId="102" xfId="0" applyFill="1" applyBorder="1" applyAlignment="1">
      <alignment horizontal="center" vertical="center" textRotation="90"/>
    </xf>
    <xf numFmtId="0" fontId="29" fillId="23" borderId="48" xfId="0" applyFont="1" applyFill="1" applyBorder="1" applyAlignment="1">
      <alignment horizontal="center" vertical="center"/>
    </xf>
    <xf numFmtId="0" fontId="29" fillId="23" borderId="54" xfId="0" applyFont="1" applyFill="1" applyBorder="1" applyAlignment="1">
      <alignment horizontal="center" vertical="center"/>
    </xf>
    <xf numFmtId="0" fontId="29" fillId="23" borderId="55" xfId="0" applyFont="1" applyFill="1" applyBorder="1" applyAlignment="1">
      <alignment horizontal="center" vertical="center"/>
    </xf>
    <xf numFmtId="0" fontId="23" fillId="20" borderId="82" xfId="0" applyFont="1" applyFill="1" applyBorder="1" applyAlignment="1">
      <alignment horizontal="center" vertical="center"/>
    </xf>
    <xf numFmtId="0" fontId="0" fillId="0" borderId="87" xfId="0" applyBorder="1" applyAlignment="1">
      <alignment horizontal="left" vertical="center"/>
    </xf>
    <xf numFmtId="0" fontId="0" fillId="0" borderId="89" xfId="0" applyBorder="1" applyAlignment="1">
      <alignment horizontal="left" vertical="center"/>
    </xf>
    <xf numFmtId="0" fontId="37" fillId="26" borderId="27" xfId="0" applyFont="1" applyFill="1" applyBorder="1" applyAlignment="1">
      <alignment horizontal="center" vertical="center"/>
    </xf>
    <xf numFmtId="0" fontId="37" fillId="26" borderId="20" xfId="0" applyFont="1" applyFill="1" applyBorder="1" applyAlignment="1">
      <alignment horizontal="center" vertical="center"/>
    </xf>
    <xf numFmtId="0" fontId="37" fillId="26" borderId="28" xfId="0" applyFont="1" applyFill="1" applyBorder="1" applyAlignment="1">
      <alignment horizontal="center" vertical="center"/>
    </xf>
    <xf numFmtId="0" fontId="37" fillId="26" borderId="9" xfId="0" applyFont="1" applyFill="1" applyBorder="1" applyAlignment="1">
      <alignment horizontal="center" vertical="center"/>
    </xf>
    <xf numFmtId="0" fontId="37" fillId="26" borderId="97" xfId="0" applyFont="1" applyFill="1" applyBorder="1" applyAlignment="1">
      <alignment horizontal="center" vertical="center"/>
    </xf>
    <xf numFmtId="0" fontId="37" fillId="26" borderId="7" xfId="0" applyFont="1" applyFill="1" applyBorder="1" applyAlignment="1">
      <alignment horizontal="center" vertical="center"/>
    </xf>
    <xf numFmtId="0" fontId="37" fillId="26" borderId="19" xfId="0" applyFont="1" applyFill="1" applyBorder="1" applyAlignment="1">
      <alignment horizontal="center" vertical="center"/>
    </xf>
    <xf numFmtId="0" fontId="37" fillId="26" borderId="14" xfId="0" applyFont="1" applyFill="1" applyBorder="1" applyAlignment="1">
      <alignment horizontal="center" vertical="center"/>
    </xf>
    <xf numFmtId="0" fontId="37" fillId="26" borderId="16" xfId="0" applyFont="1" applyFill="1" applyBorder="1" applyAlignment="1">
      <alignment horizontal="center" vertical="center"/>
    </xf>
    <xf numFmtId="0" fontId="37" fillId="26" borderId="24" xfId="0" applyFont="1" applyFill="1" applyBorder="1" applyAlignment="1">
      <alignment horizontal="center" vertical="center"/>
    </xf>
    <xf numFmtId="0" fontId="2" fillId="10" borderId="7" xfId="0" applyFont="1" applyFill="1" applyBorder="1" applyAlignment="1">
      <alignment horizontal="center" vertical="center"/>
    </xf>
    <xf numFmtId="0" fontId="2" fillId="10" borderId="19" xfId="0" applyFont="1" applyFill="1" applyBorder="1" applyAlignment="1">
      <alignment horizontal="center" vertical="center"/>
    </xf>
    <xf numFmtId="0" fontId="2" fillId="10" borderId="14" xfId="0" applyFont="1" applyFill="1" applyBorder="1" applyAlignment="1">
      <alignment horizontal="center" vertical="center"/>
    </xf>
    <xf numFmtId="0" fontId="3" fillId="0" borderId="2" xfId="0" applyFont="1" applyBorder="1" applyAlignment="1">
      <alignment horizontal="center" vertical="center"/>
    </xf>
    <xf numFmtId="0" fontId="0" fillId="0" borderId="31" xfId="0" applyBorder="1" applyAlignment="1">
      <alignment horizontal="center" vertical="center"/>
    </xf>
    <xf numFmtId="0" fontId="0" fillId="0" borderId="33" xfId="0" applyBorder="1" applyAlignment="1">
      <alignment horizontal="center" vertical="center"/>
    </xf>
    <xf numFmtId="17" fontId="0" fillId="0" borderId="32" xfId="0" applyNumberFormat="1" applyBorder="1" applyAlignment="1">
      <alignment horizontal="center" vertical="center"/>
    </xf>
    <xf numFmtId="17" fontId="0" fillId="0" borderId="34" xfId="0" applyNumberFormat="1" applyBorder="1" applyAlignment="1">
      <alignment horizontal="center" vertical="center"/>
    </xf>
    <xf numFmtId="0" fontId="3" fillId="0" borderId="19" xfId="0" applyFont="1" applyBorder="1" applyAlignment="1">
      <alignment horizontal="center" vertical="center"/>
    </xf>
    <xf numFmtId="0" fontId="0" fillId="11" borderId="20" xfId="0" applyFill="1" applyBorder="1" applyAlignment="1">
      <alignment horizontal="center" vertical="center"/>
    </xf>
    <xf numFmtId="0" fontId="0" fillId="0" borderId="36" xfId="0" applyBorder="1" applyAlignment="1">
      <alignment horizontal="center" vertical="center"/>
    </xf>
    <xf numFmtId="0" fontId="0" fillId="0" borderId="38" xfId="0" applyBorder="1" applyAlignment="1">
      <alignment horizontal="center" vertical="center"/>
    </xf>
    <xf numFmtId="17" fontId="0" fillId="0" borderId="37" xfId="0" applyNumberFormat="1" applyBorder="1" applyAlignment="1">
      <alignment horizontal="center" vertical="center"/>
    </xf>
    <xf numFmtId="17" fontId="0" fillId="0" borderId="40" xfId="0" applyNumberFormat="1" applyBorder="1" applyAlignment="1">
      <alignment horizontal="center" vertical="center"/>
    </xf>
    <xf numFmtId="0" fontId="0" fillId="16" borderId="20" xfId="0" applyFill="1" applyBorder="1" applyAlignment="1">
      <alignment horizontal="center" vertical="center"/>
    </xf>
    <xf numFmtId="0" fontId="0" fillId="17" borderId="20" xfId="0" applyFill="1" applyBorder="1" applyAlignment="1">
      <alignment horizontal="center" vertical="center"/>
    </xf>
    <xf numFmtId="17" fontId="0" fillId="0" borderId="41" xfId="0" applyNumberFormat="1" applyBorder="1" applyAlignment="1">
      <alignment horizontal="center" vertical="center"/>
    </xf>
    <xf numFmtId="17" fontId="0" fillId="0" borderId="42" xfId="0" applyNumberFormat="1" applyBorder="1" applyAlignment="1">
      <alignment horizontal="center" vertical="center"/>
    </xf>
    <xf numFmtId="17" fontId="0" fillId="0" borderId="43" xfId="0" applyNumberFormat="1" applyBorder="1" applyAlignment="1">
      <alignment horizontal="center" vertical="center"/>
    </xf>
    <xf numFmtId="0" fontId="47" fillId="6" borderId="0" xfId="0" applyFont="1" applyFill="1" applyAlignment="1">
      <alignment horizontal="center"/>
    </xf>
    <xf numFmtId="0" fontId="27" fillId="6" borderId="98" xfId="0" applyFont="1" applyFill="1" applyBorder="1" applyAlignment="1">
      <alignment horizontal="center"/>
    </xf>
    <xf numFmtId="0" fontId="4" fillId="2" borderId="0" xfId="0" applyFont="1" applyFill="1" applyAlignment="1">
      <alignment horizontal="center" vertical="center"/>
    </xf>
    <xf numFmtId="0" fontId="1" fillId="11" borderId="0" xfId="0" applyFont="1" applyFill="1"/>
    <xf numFmtId="0" fontId="1" fillId="0" borderId="0" xfId="0" applyFont="1"/>
    <xf numFmtId="0" fontId="30" fillId="0" borderId="61" xfId="0" applyFont="1" applyBorder="1" applyAlignment="1"/>
    <xf numFmtId="0" fontId="30" fillId="0" borderId="64" xfId="0" applyFont="1" applyBorder="1" applyAlignment="1"/>
    <xf numFmtId="0" fontId="29" fillId="23" borderId="69" xfId="0" applyFont="1" applyFill="1" applyBorder="1" applyAlignment="1"/>
    <xf numFmtId="0" fontId="29" fillId="23" borderId="70" xfId="0" applyFont="1" applyFill="1" applyBorder="1" applyAlignment="1"/>
    <xf numFmtId="0" fontId="29" fillId="23" borderId="72" xfId="0" applyFont="1" applyFill="1" applyBorder="1" applyAlignment="1"/>
    <xf numFmtId="0" fontId="29" fillId="23" borderId="73" xfId="0" applyFont="1" applyFill="1" applyBorder="1" applyAlignment="1"/>
  </cellXfs>
  <cellStyles count="2">
    <cellStyle name="Hyperlink" xfId="1" builtinId="8"/>
    <cellStyle name="Normal" xfId="0" builtinId="0"/>
  </cellStyles>
  <dxfs count="82">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theme="9"/>
      </font>
    </dxf>
    <dxf>
      <font>
        <b/>
        <i val="0"/>
      </font>
    </dxf>
    <dxf>
      <font>
        <b/>
        <i val="0"/>
        <color theme="4"/>
      </font>
    </dxf>
    <dxf>
      <font>
        <b/>
        <i val="0"/>
        <color rgb="FFFF0000"/>
      </font>
    </dxf>
    <dxf>
      <font>
        <b/>
        <i val="0"/>
        <color rgb="FF00B050"/>
      </font>
    </dxf>
    <dxf>
      <font>
        <b/>
        <i val="0"/>
        <color theme="0"/>
      </font>
      <fill>
        <patternFill>
          <bgColor rgb="FF0070C0"/>
        </patternFill>
      </fill>
    </dxf>
    <dxf>
      <font>
        <b/>
        <i val="0"/>
        <color theme="0"/>
      </font>
      <fill>
        <patternFill>
          <bgColor rgb="FF00B050"/>
        </patternFill>
      </fill>
    </dxf>
    <dxf>
      <font>
        <b/>
        <i val="0"/>
        <color theme="1"/>
      </font>
      <fill>
        <patternFill>
          <bgColor theme="0" tint="-0.24994659260841701"/>
        </patternFill>
      </fill>
    </dxf>
    <dxf>
      <font>
        <b/>
        <i val="0"/>
        <color theme="0"/>
      </font>
      <fill>
        <patternFill>
          <bgColor rgb="FF002060"/>
        </patternFill>
      </fill>
    </dxf>
    <dxf>
      <font>
        <b/>
        <i val="0"/>
        <color auto="1"/>
      </font>
      <fill>
        <patternFill>
          <bgColor rgb="FFFFFF00"/>
        </patternFill>
      </fill>
    </dxf>
    <dxf>
      <font>
        <b/>
        <i val="0"/>
        <color theme="0"/>
      </font>
      <fill>
        <patternFill>
          <bgColor rgb="FF0070C0"/>
        </patternFill>
      </fill>
    </dxf>
    <dxf>
      <font>
        <b/>
        <i val="0"/>
        <color theme="0"/>
      </font>
      <fill>
        <patternFill>
          <bgColor rgb="FF00B050"/>
        </patternFill>
      </fill>
    </dxf>
    <dxf>
      <font>
        <b/>
        <i val="0"/>
        <color theme="1"/>
      </font>
      <fill>
        <patternFill>
          <bgColor theme="0" tint="-0.24994659260841701"/>
        </patternFill>
      </fill>
    </dxf>
    <dxf>
      <font>
        <b/>
        <i val="0"/>
        <color theme="0"/>
      </font>
      <fill>
        <patternFill>
          <bgColor rgb="FF002060"/>
        </patternFill>
      </fill>
    </dxf>
    <dxf>
      <font>
        <b/>
        <i val="0"/>
        <color theme="0"/>
      </font>
      <fill>
        <patternFill>
          <bgColor theme="0" tint="-0.34998626667073579"/>
        </patternFill>
      </fill>
    </dxf>
    <dxf>
      <font>
        <b/>
        <i val="0"/>
        <color theme="0"/>
      </font>
      <fill>
        <patternFill>
          <bgColor theme="0" tint="-0.34998626667073579"/>
        </patternFill>
      </fill>
    </dxf>
    <dxf>
      <font>
        <b/>
        <i val="0"/>
        <color theme="0"/>
      </font>
      <fill>
        <patternFill>
          <bgColor rgb="FF0070C0"/>
        </patternFill>
      </fill>
    </dxf>
    <dxf>
      <font>
        <b/>
        <i val="0"/>
        <color theme="0"/>
      </font>
      <fill>
        <patternFill>
          <bgColor rgb="FF00B050"/>
        </patternFill>
      </fill>
    </dxf>
    <dxf>
      <font>
        <color rgb="FF9C0006"/>
      </font>
      <fill>
        <patternFill>
          <bgColor rgb="FFFFC7CE"/>
        </patternFill>
      </fill>
    </dxf>
    <dxf>
      <font>
        <b/>
        <i val="0"/>
        <color theme="0"/>
      </font>
      <fill>
        <patternFill>
          <bgColor rgb="FFFF0000"/>
        </patternFill>
      </fill>
    </dxf>
    <dxf>
      <font>
        <b/>
        <i val="0"/>
        <color theme="0"/>
      </font>
      <fill>
        <patternFill>
          <bgColor rgb="FF002060"/>
        </patternFill>
      </fill>
    </dxf>
    <dxf>
      <font>
        <b/>
        <i val="0"/>
        <color theme="0"/>
      </font>
      <fill>
        <patternFill>
          <bgColor theme="0" tint="-0.34998626667073579"/>
        </patternFill>
      </fill>
    </dxf>
    <dxf>
      <font>
        <b/>
        <i val="0"/>
        <color theme="0"/>
      </font>
      <fill>
        <patternFill>
          <bgColor theme="0" tint="-0.34998626667073579"/>
        </patternFill>
      </fill>
    </dxf>
    <dxf>
      <font>
        <b/>
        <i val="0"/>
        <color theme="0"/>
      </font>
      <fill>
        <patternFill>
          <bgColor rgb="FF0070C0"/>
        </patternFill>
      </fill>
    </dxf>
    <dxf>
      <font>
        <b/>
        <i val="0"/>
        <color theme="0"/>
      </font>
      <fill>
        <patternFill>
          <bgColor rgb="FF00B050"/>
        </patternFill>
      </fill>
    </dxf>
    <dxf>
      <font>
        <color rgb="FF9C0006"/>
      </font>
      <fill>
        <patternFill>
          <bgColor rgb="FFFFC7CE"/>
        </patternFill>
      </fill>
    </dxf>
    <dxf>
      <font>
        <b/>
        <i val="0"/>
        <color theme="0"/>
      </font>
      <fill>
        <patternFill>
          <bgColor rgb="FFFF0000"/>
        </patternFill>
      </fill>
    </dxf>
    <dxf>
      <font>
        <b/>
        <i val="0"/>
        <color theme="0"/>
      </font>
      <fill>
        <patternFill>
          <bgColor rgb="FF002060"/>
        </patternFill>
      </fill>
    </dxf>
    <dxf>
      <font>
        <b/>
        <i val="0"/>
        <color theme="0"/>
      </font>
      <fill>
        <patternFill>
          <bgColor theme="0" tint="-0.34998626667073579"/>
        </patternFill>
      </fill>
    </dxf>
    <dxf>
      <font>
        <b/>
        <i val="0"/>
        <color theme="0"/>
      </font>
      <fill>
        <patternFill>
          <bgColor theme="0" tint="-0.34998626667073579"/>
        </patternFill>
      </fill>
    </dxf>
    <dxf>
      <font>
        <b/>
        <i val="0"/>
        <color theme="0"/>
      </font>
      <fill>
        <patternFill>
          <bgColor rgb="FF0070C0"/>
        </patternFill>
      </fill>
    </dxf>
    <dxf>
      <font>
        <b/>
        <i val="0"/>
        <color theme="0"/>
      </font>
      <fill>
        <patternFill>
          <bgColor rgb="FF00B050"/>
        </patternFill>
      </fill>
    </dxf>
    <dxf>
      <font>
        <color rgb="FF9C0006"/>
      </font>
      <fill>
        <patternFill>
          <bgColor rgb="FFFFC7CE"/>
        </patternFill>
      </fill>
    </dxf>
    <dxf>
      <font>
        <b/>
        <i val="0"/>
        <color theme="0"/>
      </font>
      <fill>
        <patternFill>
          <bgColor rgb="FFFF0000"/>
        </patternFill>
      </fill>
    </dxf>
    <dxf>
      <font>
        <b/>
        <i val="0"/>
        <color theme="0"/>
      </font>
      <fill>
        <patternFill>
          <bgColor rgb="FF002060"/>
        </patternFill>
      </fill>
    </dxf>
    <dxf>
      <font>
        <b/>
        <i val="0"/>
        <color theme="0"/>
      </font>
      <fill>
        <patternFill>
          <bgColor theme="0" tint="-0.34998626667073579"/>
        </patternFill>
      </fill>
    </dxf>
    <dxf>
      <font>
        <b/>
        <i val="0"/>
        <color theme="0"/>
      </font>
      <fill>
        <patternFill>
          <bgColor theme="0" tint="-0.34998626667073579"/>
        </patternFill>
      </fill>
    </dxf>
    <dxf>
      <font>
        <b/>
        <i val="0"/>
        <color theme="0"/>
      </font>
      <fill>
        <patternFill>
          <bgColor rgb="FF0070C0"/>
        </patternFill>
      </fill>
    </dxf>
    <dxf>
      <font>
        <b/>
        <i val="0"/>
        <color theme="0"/>
      </font>
      <fill>
        <patternFill>
          <bgColor rgb="FF00B050"/>
        </patternFill>
      </fill>
    </dxf>
    <dxf>
      <font>
        <color rgb="FF9C0006"/>
      </font>
      <fill>
        <patternFill>
          <bgColor rgb="FFFFC7CE"/>
        </patternFill>
      </fill>
    </dxf>
    <dxf>
      <font>
        <b/>
        <i val="0"/>
        <color theme="0"/>
      </font>
      <fill>
        <patternFill>
          <bgColor rgb="FFFF0000"/>
        </patternFill>
      </fill>
    </dxf>
    <dxf>
      <font>
        <b/>
        <i val="0"/>
        <color theme="0"/>
      </font>
      <fill>
        <patternFill>
          <bgColor rgb="FF002060"/>
        </patternFill>
      </fill>
    </dxf>
    <dxf>
      <font>
        <color theme="1"/>
      </font>
    </dxf>
    <dxf>
      <font>
        <b/>
        <i val="0"/>
        <color rgb="FF0070C0"/>
      </font>
    </dxf>
    <dxf>
      <font>
        <b/>
        <i val="0"/>
        <color rgb="FFFF0000"/>
      </font>
    </dxf>
    <dxf>
      <font>
        <b/>
        <i val="0"/>
        <color rgb="FF00B050"/>
      </font>
    </dxf>
    <dxf>
      <font>
        <b/>
        <i val="0"/>
        <color rgb="FF00287A"/>
      </font>
    </dxf>
    <dxf>
      <font>
        <b/>
        <i val="0"/>
        <color rgb="FF4D4D4D"/>
      </font>
    </dxf>
    <dxf>
      <font>
        <b/>
        <i val="0"/>
        <color theme="0"/>
      </font>
      <fill>
        <patternFill>
          <bgColor theme="0" tint="-0.34998626667073579"/>
        </patternFill>
      </fill>
    </dxf>
    <dxf>
      <font>
        <b/>
        <i val="0"/>
        <color theme="0"/>
      </font>
      <fill>
        <patternFill>
          <bgColor theme="0" tint="-0.34998626667073579"/>
        </patternFill>
      </fill>
    </dxf>
    <dxf>
      <font>
        <b/>
        <i val="0"/>
        <color theme="0"/>
      </font>
      <fill>
        <patternFill>
          <bgColor rgb="FF0070C0"/>
        </patternFill>
      </fill>
    </dxf>
    <dxf>
      <font>
        <b/>
        <i val="0"/>
        <color theme="0"/>
      </font>
      <fill>
        <patternFill>
          <bgColor rgb="FF00B050"/>
        </patternFill>
      </fill>
    </dxf>
    <dxf>
      <font>
        <color rgb="FF9C0006"/>
      </font>
      <fill>
        <patternFill>
          <bgColor rgb="FFFFC7CE"/>
        </patternFill>
      </fill>
    </dxf>
    <dxf>
      <font>
        <b/>
        <i val="0"/>
        <color theme="0"/>
      </font>
      <fill>
        <patternFill>
          <bgColor rgb="FFFF0000"/>
        </patternFill>
      </fill>
    </dxf>
    <dxf>
      <font>
        <b/>
        <i val="0"/>
        <color theme="0"/>
      </font>
      <fill>
        <patternFill>
          <bgColor rgb="FF002060"/>
        </patternFill>
      </fill>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b/>
        <i val="0"/>
        <color rgb="FF00B050"/>
      </font>
    </dxf>
    <dxf>
      <font>
        <b/>
        <i val="0"/>
        <color rgb="FFFF0000"/>
      </font>
    </dxf>
    <dxf>
      <font>
        <color rgb="FF9C0084"/>
      </font>
      <fill>
        <patternFill patternType="solid">
          <bgColor rgb="FFD79EFF"/>
        </patternFill>
      </fill>
    </dxf>
    <dxf>
      <font>
        <color rgb="FF9C0084"/>
      </font>
      <fill>
        <patternFill patternType="solid">
          <bgColor rgb="FFD79EFF"/>
        </patternFill>
      </fill>
    </dxf>
    <dxf>
      <font>
        <color rgb="FF9C0084"/>
      </font>
      <fill>
        <patternFill patternType="solid">
          <bgColor rgb="FFD79EFF"/>
        </patternFill>
      </fill>
    </dxf>
    <dxf>
      <font>
        <color rgb="FF9C0084"/>
      </font>
      <fill>
        <patternFill patternType="solid">
          <bgColor rgb="FFFAB9F1"/>
        </patternFill>
      </fill>
    </dxf>
    <dxf>
      <font>
        <color rgb="FF9C5700"/>
      </font>
      <fill>
        <patternFill>
          <bgColor rgb="FFFFEB9C"/>
        </patternFill>
      </fill>
    </dxf>
    <dxf>
      <font>
        <color rgb="FF7030A0"/>
      </font>
      <fill>
        <patternFill patternType="solid">
          <bgColor rgb="FFD9AAFA"/>
        </patternFill>
      </fill>
    </dxf>
    <dxf>
      <font>
        <color theme="5" tint="-0.499984740745262"/>
      </font>
      <fill>
        <patternFill patternType="solid">
          <bgColor theme="5" tint="0.39997558519241921"/>
        </patternFill>
      </fill>
    </dxf>
    <dxf>
      <font>
        <color rgb="FF002060"/>
      </font>
      <fill>
        <patternFill patternType="solid">
          <bgColor theme="8" tint="0.39997558519241921"/>
        </patternFill>
      </fill>
    </dxf>
    <dxf>
      <font>
        <color theme="9" tint="-0.499984740745262"/>
      </font>
      <fill>
        <patternFill patternType="solid">
          <bgColor theme="9" tint="0.39997558519241921"/>
        </patternFill>
      </fill>
    </dxf>
    <dxf>
      <font>
        <color theme="1"/>
      </font>
      <fill>
        <patternFill patternType="solid">
          <bgColor theme="2" tint="-0.249977111117893"/>
        </patternFill>
      </fill>
    </dxf>
    <dxf>
      <font>
        <color rgb="FF9C0084"/>
      </font>
      <fill>
        <patternFill patternType="solid">
          <bgColor rgb="FFD79EFF"/>
        </patternFill>
      </fill>
    </dxf>
  </dxfs>
  <tableStyles count="0" defaultTableStyle="TableStyleMedium2" defaultPivotStyle="PivotStyleLight16"/>
  <colors>
    <mruColors>
      <color rgb="FFD9AAFA"/>
      <color rgb="FFFAB9F1"/>
      <color rgb="FF66FF99"/>
      <color rgb="FFFF99CC"/>
      <color rgb="FF44546A"/>
      <color rgb="FFFFC000"/>
      <color rgb="FFD79EFF"/>
      <color rgb="FF9C0084"/>
      <color rgb="FF9600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9.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styles" Target="style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microsoft.com/office/2022/10/relationships/richValueRel" Target="richData/richValueRel.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B03-4615-89A9-FC472EF8B51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B03-4615-89A9-FC472EF8B514}"/>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B03-4615-89A9-FC472EF8B514}"/>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B03-4615-89A9-FC472EF8B514}"/>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E92-4F2E-ABC2-F3C6FFD9A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Report!$B$10:$F$10</c:f>
              <c:strCache>
                <c:ptCount val="5"/>
                <c:pt idx="0">
                  <c:v>Passed</c:v>
                </c:pt>
                <c:pt idx="1">
                  <c:v>Failed</c:v>
                </c:pt>
                <c:pt idx="2">
                  <c:v>In Progress</c:v>
                </c:pt>
                <c:pt idx="3">
                  <c:v>Not Started</c:v>
                </c:pt>
                <c:pt idx="4">
                  <c:v>Not Applicable</c:v>
                </c:pt>
              </c:strCache>
            </c:strRef>
          </c:cat>
          <c:val>
            <c:numRef>
              <c:f>Report!$B$11:$F$11</c:f>
              <c:numCache>
                <c:formatCode>0</c:formatCode>
                <c:ptCount val="5"/>
                <c:pt idx="0">
                  <c:v>166</c:v>
                </c:pt>
                <c:pt idx="1">
                  <c:v>0</c:v>
                </c:pt>
                <c:pt idx="2">
                  <c:v>0</c:v>
                </c:pt>
                <c:pt idx="3">
                  <c:v>0</c:v>
                </c:pt>
                <c:pt idx="4">
                  <c:v>0</c:v>
                </c:pt>
              </c:numCache>
            </c:numRef>
          </c:val>
          <c:extLst>
            <c:ext xmlns:c16="http://schemas.microsoft.com/office/drawing/2014/chart" uri="{C3380CC4-5D6E-409C-BE32-E72D297353CC}">
              <c16:uniqueId val="{00000008-EB03-4615-89A9-FC472EF8B514}"/>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8536562023204155"/>
          <c:y val="0.17040123556098974"/>
          <c:w val="0.47193928389632434"/>
          <c:h val="0.61132633325110564"/>
        </c:manualLayout>
      </c:layout>
      <c:barChart>
        <c:barDir val="bar"/>
        <c:grouping val="percentStacked"/>
        <c:varyColors val="0"/>
        <c:ser>
          <c:idx val="0"/>
          <c:order val="0"/>
          <c:tx>
            <c:strRef>
              <c:f>Report!$B$3</c:f>
              <c:strCache>
                <c:ptCount val="1"/>
                <c:pt idx="0">
                  <c:v>Passed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Report!$A$4:$A$9</c:f>
              <c:strCache>
                <c:ptCount val="6"/>
                <c:pt idx="0">
                  <c:v>TC-MMD_BuySide_R26.3_S15_1041077_[KTLO] [MMD BuySide][R26.2 QA, PRDFIX] - Excess signatory is showing in the signatory field</c:v>
                </c:pt>
                <c:pt idx="1">
                  <c:v>TC-MMD_BuySide_R26.3_S15_1044636_[KTLO]_[Buy Side R26.2 S14] - Supplier Permitted Termination Date is not updating in Save Search in agreement list</c:v>
                </c:pt>
                <c:pt idx="2">
                  <c:v>TC-MMD BuySide R26.3 S15 858074 [KTLO] [CHG] [FEEDBACK] Additional Dropdown option for Supplier Preferred Name.xlsx</c:v>
                </c:pt>
                <c:pt idx="3">
                  <c:v>TC-MMD_BuySide_R26.3_S15_1053552 [TPRM] [Functional] Unhide Unknown option in DOJ prohibited countries attribute in MMD.xlsx</c:v>
                </c:pt>
                <c:pt idx="4">
                  <c:v>TC-MMD_BuySide_R26.3_S15_1053553 [TPRM][Technical] Update Coupa mapping for Unknown option in DOJ prohibited countries attribute in MMD.xlsx</c:v>
                </c:pt>
                <c:pt idx="5">
                  <c:v>TC-MMD_BuySide_R26.3_S15_611512_[KTLO_BuySide]_Edit in Office for the Web when status is Ready For Signature</c:v>
                </c:pt>
              </c:strCache>
            </c:strRef>
          </c:cat>
          <c:val>
            <c:numRef>
              <c:f>Report!$B$4:$B$9</c:f>
              <c:numCache>
                <c:formatCode>General</c:formatCode>
                <c:ptCount val="6"/>
                <c:pt idx="0">
                  <c:v>8</c:v>
                </c:pt>
                <c:pt idx="1">
                  <c:v>10</c:v>
                </c:pt>
                <c:pt idx="2">
                  <c:v>129</c:v>
                </c:pt>
                <c:pt idx="3">
                  <c:v>9</c:v>
                </c:pt>
                <c:pt idx="4">
                  <c:v>7</c:v>
                </c:pt>
                <c:pt idx="5">
                  <c:v>3</c:v>
                </c:pt>
              </c:numCache>
            </c:numRef>
          </c:val>
          <c:extLst xmlns:c15="http://schemas.microsoft.com/office/drawing/2012/chart">
            <c:ext xmlns:c16="http://schemas.microsoft.com/office/drawing/2014/chart" uri="{C3380CC4-5D6E-409C-BE32-E72D297353CC}">
              <c16:uniqueId val="{00000000-2E65-4FDB-B40F-4B7213D9D07C}"/>
            </c:ext>
          </c:extLst>
        </c:ser>
        <c:ser>
          <c:idx val="1"/>
          <c:order val="1"/>
          <c:tx>
            <c:strRef>
              <c:f>Report!$C$3</c:f>
              <c:strCache>
                <c:ptCount val="1"/>
                <c:pt idx="0">
                  <c:v>Failed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Report!$A$4:$A$9</c:f>
              <c:strCache>
                <c:ptCount val="6"/>
                <c:pt idx="0">
                  <c:v>TC-MMD_BuySide_R26.3_S15_1041077_[KTLO] [MMD BuySide][R26.2 QA, PRDFIX] - Excess signatory is showing in the signatory field</c:v>
                </c:pt>
                <c:pt idx="1">
                  <c:v>TC-MMD_BuySide_R26.3_S15_1044636_[KTLO]_[Buy Side R26.2 S14] - Supplier Permitted Termination Date is not updating in Save Search in agreement list</c:v>
                </c:pt>
                <c:pt idx="2">
                  <c:v>TC-MMD BuySide R26.3 S15 858074 [KTLO] [CHG] [FEEDBACK] Additional Dropdown option for Supplier Preferred Name.xlsx</c:v>
                </c:pt>
                <c:pt idx="3">
                  <c:v>TC-MMD_BuySide_R26.3_S15_1053552 [TPRM] [Functional] Unhide Unknown option in DOJ prohibited countries attribute in MMD.xlsx</c:v>
                </c:pt>
                <c:pt idx="4">
                  <c:v>TC-MMD_BuySide_R26.3_S15_1053553 [TPRM][Technical] Update Coupa mapping for Unknown option in DOJ prohibited countries attribute in MMD.xlsx</c:v>
                </c:pt>
                <c:pt idx="5">
                  <c:v>TC-MMD_BuySide_R26.3_S15_611512_[KTLO_BuySide]_Edit in Office for the Web when status is Ready For Signature</c:v>
                </c:pt>
              </c:strCache>
            </c:strRef>
          </c:cat>
          <c:val>
            <c:numRef>
              <c:f>Report!$C$4:$C$9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E65-4FDB-B40F-4B7213D9D07C}"/>
            </c:ext>
          </c:extLst>
        </c:ser>
        <c:ser>
          <c:idx val="2"/>
          <c:order val="2"/>
          <c:tx>
            <c:strRef>
              <c:f>Report!$D$3</c:f>
              <c:strCache>
                <c:ptCount val="1"/>
                <c:pt idx="0">
                  <c:v>In Progress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Report!$A$4:$A$9</c:f>
              <c:strCache>
                <c:ptCount val="6"/>
                <c:pt idx="0">
                  <c:v>TC-MMD_BuySide_R26.3_S15_1041077_[KTLO] [MMD BuySide][R26.2 QA, PRDFIX] - Excess signatory is showing in the signatory field</c:v>
                </c:pt>
                <c:pt idx="1">
                  <c:v>TC-MMD_BuySide_R26.3_S15_1044636_[KTLO]_[Buy Side R26.2 S14] - Supplier Permitted Termination Date is not updating in Save Search in agreement list</c:v>
                </c:pt>
                <c:pt idx="2">
                  <c:v>TC-MMD BuySide R26.3 S15 858074 [KTLO] [CHG] [FEEDBACK] Additional Dropdown option for Supplier Preferred Name.xlsx</c:v>
                </c:pt>
                <c:pt idx="3">
                  <c:v>TC-MMD_BuySide_R26.3_S15_1053552 [TPRM] [Functional] Unhide Unknown option in DOJ prohibited countries attribute in MMD.xlsx</c:v>
                </c:pt>
                <c:pt idx="4">
                  <c:v>TC-MMD_BuySide_R26.3_S15_1053553 [TPRM][Technical] Update Coupa mapping for Unknown option in DOJ prohibited countries attribute in MMD.xlsx</c:v>
                </c:pt>
                <c:pt idx="5">
                  <c:v>TC-MMD_BuySide_R26.3_S15_611512_[KTLO_BuySide]_Edit in Office for the Web when status is Ready For Signature</c:v>
                </c:pt>
              </c:strCache>
            </c:strRef>
          </c:cat>
          <c:val>
            <c:numRef>
              <c:f>Report!$D$4:$D$9</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E65-4FDB-B40F-4B7213D9D07C}"/>
            </c:ext>
          </c:extLst>
        </c:ser>
        <c:ser>
          <c:idx val="3"/>
          <c:order val="3"/>
          <c:tx>
            <c:strRef>
              <c:f>Report!$E$3</c:f>
              <c:strCache>
                <c:ptCount val="1"/>
                <c:pt idx="0">
                  <c:v>Not Started</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Report!$A$4:$A$9</c:f>
              <c:strCache>
                <c:ptCount val="6"/>
                <c:pt idx="0">
                  <c:v>TC-MMD_BuySide_R26.3_S15_1041077_[KTLO] [MMD BuySide][R26.2 QA, PRDFIX] - Excess signatory is showing in the signatory field</c:v>
                </c:pt>
                <c:pt idx="1">
                  <c:v>TC-MMD_BuySide_R26.3_S15_1044636_[KTLO]_[Buy Side R26.2 S14] - Supplier Permitted Termination Date is not updating in Save Search in agreement list</c:v>
                </c:pt>
                <c:pt idx="2">
                  <c:v>TC-MMD BuySide R26.3 S15 858074 [KTLO] [CHG] [FEEDBACK] Additional Dropdown option for Supplier Preferred Name.xlsx</c:v>
                </c:pt>
                <c:pt idx="3">
                  <c:v>TC-MMD_BuySide_R26.3_S15_1053552 [TPRM] [Functional] Unhide Unknown option in DOJ prohibited countries attribute in MMD.xlsx</c:v>
                </c:pt>
                <c:pt idx="4">
                  <c:v>TC-MMD_BuySide_R26.3_S15_1053553 [TPRM][Technical] Update Coupa mapping for Unknown option in DOJ prohibited countries attribute in MMD.xlsx</c:v>
                </c:pt>
                <c:pt idx="5">
                  <c:v>TC-MMD_BuySide_R26.3_S15_611512_[KTLO_BuySide]_Edit in Office for the Web when status is Ready For Signature</c:v>
                </c:pt>
              </c:strCache>
            </c:strRef>
          </c:cat>
          <c:val>
            <c:numRef>
              <c:f>Report!$E$4:$E$9</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E65-4FDB-B40F-4B7213D9D07C}"/>
            </c:ext>
          </c:extLst>
        </c:ser>
        <c:ser>
          <c:idx val="4"/>
          <c:order val="4"/>
          <c:tx>
            <c:strRef>
              <c:f>Report!$F$3</c:f>
              <c:strCache>
                <c:ptCount val="1"/>
                <c:pt idx="0">
                  <c:v>Not Applicable</c:v>
                </c:pt>
              </c:strCache>
              <c:extLst xmlns:c15="http://schemas.microsoft.com/office/drawing/2012/chart"/>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Report!$A$4:$A$9</c:f>
              <c:strCache>
                <c:ptCount val="6"/>
                <c:pt idx="0">
                  <c:v>TC-MMD_BuySide_R26.3_S15_1041077_[KTLO] [MMD BuySide][R26.2 QA, PRDFIX] - Excess signatory is showing in the signatory field</c:v>
                </c:pt>
                <c:pt idx="1">
                  <c:v>TC-MMD_BuySide_R26.3_S15_1044636_[KTLO]_[Buy Side R26.2 S14] - Supplier Permitted Termination Date is not updating in Save Search in agreement list</c:v>
                </c:pt>
                <c:pt idx="2">
                  <c:v>TC-MMD BuySide R26.3 S15 858074 [KTLO] [CHG] [FEEDBACK] Additional Dropdown option for Supplier Preferred Name.xlsx</c:v>
                </c:pt>
                <c:pt idx="3">
                  <c:v>TC-MMD_BuySide_R26.3_S15_1053552 [TPRM] [Functional] Unhide Unknown option in DOJ prohibited countries attribute in MMD.xlsx</c:v>
                </c:pt>
                <c:pt idx="4">
                  <c:v>TC-MMD_BuySide_R26.3_S15_1053553 [TPRM][Technical] Update Coupa mapping for Unknown option in DOJ prohibited countries attribute in MMD.xlsx</c:v>
                </c:pt>
                <c:pt idx="5">
                  <c:v>TC-MMD_BuySide_R26.3_S15_611512_[KTLO_BuySide]_Edit in Office for the Web when status is Ready For Signature</c:v>
                </c:pt>
              </c:strCache>
              <c:extLst xmlns:c15="http://schemas.microsoft.com/office/drawing/2012/chart"/>
            </c:strRef>
          </c:cat>
          <c:val>
            <c:numRef>
              <c:f>Report!$F$4:$F$9</c:f>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4-2E65-4FDB-B40F-4B7213D9D07C}"/>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70C0">
                    <a:alpha val="63000"/>
                  </a:srgbClr>
                </a:outerShdw>
              </a:effectLst>
              <a:sp3d/>
            </c:spPr>
            <c:extLst>
              <c:ext xmlns:c16="http://schemas.microsoft.com/office/drawing/2014/chart" uri="{C3380CC4-5D6E-409C-BE32-E72D297353CC}">
                <c16:uniqueId val="{00000001-5156-40B8-AC50-7952E6DCBF92}"/>
              </c:ext>
            </c:extLst>
          </c:dPt>
          <c:dPt>
            <c:idx val="1"/>
            <c:bubble3D val="0"/>
            <c:spPr>
              <a:solidFill>
                <a:srgbClr val="C0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156-40B8-AC50-7952E6DCBF92}"/>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156-40B8-AC50-7952E6DCBF92}"/>
              </c:ext>
            </c:extLst>
          </c:dPt>
          <c:dPt>
            <c:idx val="3"/>
            <c:bubble3D val="0"/>
            <c:spPr>
              <a:solidFill>
                <a:schemeClr val="bg1">
                  <a:lumMod val="65000"/>
                </a:schemeClr>
              </a:solidFill>
              <a:ln>
                <a:noFill/>
              </a:ln>
              <a:effectLst>
                <a:outerShdw blurRad="57150" dist="19050" dir="5400000" algn="ctr" rotWithShape="0">
                  <a:schemeClr val="bg1">
                    <a:lumMod val="75000"/>
                    <a:alpha val="63000"/>
                  </a:schemeClr>
                </a:outerShdw>
              </a:effectLst>
              <a:sp3d/>
            </c:spPr>
            <c:extLst>
              <c:ext xmlns:c16="http://schemas.microsoft.com/office/drawing/2014/chart" uri="{C3380CC4-5D6E-409C-BE32-E72D297353CC}">
                <c16:uniqueId val="{00000007-5156-40B8-AC50-7952E6DCBF92}"/>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156-40B8-AC50-7952E6DCBF92}"/>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Report!$B$42:$F$42</c:f>
              <c:strCache>
                <c:ptCount val="5"/>
                <c:pt idx="0">
                  <c:v>Passed</c:v>
                </c:pt>
                <c:pt idx="1">
                  <c:v>Failed</c:v>
                </c:pt>
                <c:pt idx="2">
                  <c:v>In Progress</c:v>
                </c:pt>
                <c:pt idx="3">
                  <c:v>Not Started</c:v>
                </c:pt>
                <c:pt idx="4">
                  <c:v>Not Applicable</c:v>
                </c:pt>
              </c:strCache>
            </c:strRef>
          </c:cat>
          <c:val>
            <c:numRef>
              <c:f>Report!$B$43:$F$43</c:f>
              <c:numCache>
                <c:formatCode>General</c:formatCode>
                <c:ptCount val="5"/>
                <c:pt idx="0">
                  <c:v>29</c:v>
                </c:pt>
                <c:pt idx="1">
                  <c:v>0</c:v>
                </c:pt>
                <c:pt idx="2">
                  <c:v>0</c:v>
                </c:pt>
                <c:pt idx="3">
                  <c:v>0</c:v>
                </c:pt>
                <c:pt idx="4">
                  <c:v>0</c:v>
                </c:pt>
              </c:numCache>
            </c:numRef>
          </c:val>
          <c:extLst>
            <c:ext xmlns:c16="http://schemas.microsoft.com/office/drawing/2014/chart" uri="{C3380CC4-5D6E-409C-BE32-E72D297353CC}">
              <c16:uniqueId val="{0000000A-5156-40B8-AC50-7952E6DCBF92}"/>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8536562023204155"/>
          <c:y val="0.17040123556098974"/>
          <c:w val="0.47193928389632434"/>
          <c:h val="0.61132633325110564"/>
        </c:manualLayout>
      </c:layout>
      <c:barChart>
        <c:barDir val="bar"/>
        <c:grouping val="percentStacked"/>
        <c:varyColors val="0"/>
        <c:ser>
          <c:idx val="0"/>
          <c:order val="0"/>
          <c:tx>
            <c:strRef>
              <c:f>Report!$B$38</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Report!$B$39:$B$41</c:f>
              <c:numCache>
                <c:formatCode>General</c:formatCode>
                <c:ptCount val="3"/>
                <c:pt idx="0">
                  <c:v>10</c:v>
                </c:pt>
                <c:pt idx="1">
                  <c:v>10</c:v>
                </c:pt>
                <c:pt idx="2">
                  <c:v>9</c:v>
                </c:pt>
              </c:numCache>
            </c:numRef>
          </c:val>
          <c:extLst xmlns:c15="http://schemas.microsoft.com/office/drawing/2012/chart">
            <c:ext xmlns:c16="http://schemas.microsoft.com/office/drawing/2014/chart" uri="{C3380CC4-5D6E-409C-BE32-E72D297353CC}">
              <c16:uniqueId val="{00000000-F266-4718-8B95-4D648A474C0F}"/>
            </c:ext>
          </c:extLst>
        </c:ser>
        <c:ser>
          <c:idx val="1"/>
          <c:order val="1"/>
          <c:tx>
            <c:strRef>
              <c:f>Report!$C$38</c:f>
              <c:strCache>
                <c:ptCount val="1"/>
                <c:pt idx="0">
                  <c:v>Failed</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Report!$C$39:$C$41</c:f>
              <c:numCache>
                <c:formatCode>General</c:formatCode>
                <c:ptCount val="3"/>
                <c:pt idx="0">
                  <c:v>0</c:v>
                </c:pt>
                <c:pt idx="1">
                  <c:v>0</c:v>
                </c:pt>
                <c:pt idx="2">
                  <c:v>0</c:v>
                </c:pt>
              </c:numCache>
            </c:numRef>
          </c:val>
          <c:extLst>
            <c:ext xmlns:c16="http://schemas.microsoft.com/office/drawing/2014/chart" uri="{C3380CC4-5D6E-409C-BE32-E72D297353CC}">
              <c16:uniqueId val="{00000001-F266-4718-8B95-4D648A474C0F}"/>
            </c:ext>
          </c:extLst>
        </c:ser>
        <c:ser>
          <c:idx val="2"/>
          <c:order val="2"/>
          <c:tx>
            <c:strRef>
              <c:f>Report!$D$38</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Report!$D$39:$D$41</c:f>
              <c:numCache>
                <c:formatCode>General</c:formatCode>
                <c:ptCount val="3"/>
                <c:pt idx="0">
                  <c:v>0</c:v>
                </c:pt>
                <c:pt idx="1">
                  <c:v>0</c:v>
                </c:pt>
                <c:pt idx="2">
                  <c:v>0</c:v>
                </c:pt>
              </c:numCache>
            </c:numRef>
          </c:val>
          <c:extLst>
            <c:ext xmlns:c16="http://schemas.microsoft.com/office/drawing/2014/chart" uri="{C3380CC4-5D6E-409C-BE32-E72D297353CC}">
              <c16:uniqueId val="{00000002-F266-4718-8B95-4D648A474C0F}"/>
            </c:ext>
          </c:extLst>
        </c:ser>
        <c:ser>
          <c:idx val="3"/>
          <c:order val="3"/>
          <c:tx>
            <c:strRef>
              <c:f>Report!$E$38</c:f>
              <c:strCache>
                <c:ptCount val="1"/>
                <c:pt idx="0">
                  <c:v>Not Started</c:v>
                </c:pt>
              </c:strCache>
            </c:strRef>
          </c:tx>
          <c:spPr>
            <a:solidFill>
              <a:schemeClr val="bg1">
                <a:lumMod val="65000"/>
              </a:schemeClr>
            </a:soli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Report!$E$39:$E$41</c:f>
              <c:numCache>
                <c:formatCode>General</c:formatCode>
                <c:ptCount val="3"/>
                <c:pt idx="0">
                  <c:v>0</c:v>
                </c:pt>
                <c:pt idx="1">
                  <c:v>0</c:v>
                </c:pt>
                <c:pt idx="2">
                  <c:v>0</c:v>
                </c:pt>
              </c:numCache>
            </c:numRef>
          </c:val>
          <c:extLst>
            <c:ext xmlns:c16="http://schemas.microsoft.com/office/drawing/2014/chart" uri="{C3380CC4-5D6E-409C-BE32-E72D297353CC}">
              <c16:uniqueId val="{00000003-F266-4718-8B95-4D648A474C0F}"/>
            </c:ext>
          </c:extLst>
        </c:ser>
        <c:ser>
          <c:idx val="4"/>
          <c:order val="4"/>
          <c:tx>
            <c:strRef>
              <c:f>Report!$F$38</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Report!$F$39:$F$41</c:f>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4-F266-4718-8B95-4D648A474C0F}"/>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layout>
        <c:manualLayout>
          <c:xMode val="edge"/>
          <c:yMode val="edge"/>
          <c:x val="0.16235330325237288"/>
          <c:y val="0.90603157639717524"/>
          <c:w val="0.68508921410710788"/>
          <c:h val="6.932109549287054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E64-427E-B038-CD204681DC6C}"/>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E64-427E-B038-CD204681DC6C}"/>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E64-427E-B038-CD204681DC6C}"/>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E64-427E-B038-CD204681DC6C}"/>
              </c:ext>
            </c:extLst>
          </c:dPt>
          <c:dPt>
            <c:idx val="4"/>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E64-427E-B038-CD204681DC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Report!$B$146:$F$146</c:f>
              <c:strCache>
                <c:ptCount val="5"/>
                <c:pt idx="0">
                  <c:v>Passed</c:v>
                </c:pt>
                <c:pt idx="1">
                  <c:v>Failed</c:v>
                </c:pt>
                <c:pt idx="2">
                  <c:v>In Progress</c:v>
                </c:pt>
                <c:pt idx="3">
                  <c:v>Not Started</c:v>
                </c:pt>
                <c:pt idx="4">
                  <c:v>Not Applicable</c:v>
                </c:pt>
              </c:strCache>
            </c:strRef>
          </c:cat>
          <c:val>
            <c:numRef>
              <c:f>Report!$B$147:$F$147</c:f>
              <c:numCache>
                <c:formatCode>General</c:formatCode>
                <c:ptCount val="5"/>
                <c:pt idx="0">
                  <c:v>14</c:v>
                </c:pt>
                <c:pt idx="1">
                  <c:v>0</c:v>
                </c:pt>
                <c:pt idx="2">
                  <c:v>0</c:v>
                </c:pt>
                <c:pt idx="3">
                  <c:v>0</c:v>
                </c:pt>
                <c:pt idx="4">
                  <c:v>2</c:v>
                </c:pt>
              </c:numCache>
            </c:numRef>
          </c:val>
          <c:extLst>
            <c:ext xmlns:c16="http://schemas.microsoft.com/office/drawing/2014/chart" uri="{C3380CC4-5D6E-409C-BE32-E72D297353CC}">
              <c16:uniqueId val="{0000000A-DE64-427E-B038-CD204681DC6C}"/>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Report!$B$137</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Report!$A$138:$A$146</c:f>
              <c:strCache>
                <c:ptCount val="7"/>
                <c:pt idx="0">
                  <c:v>MMD to SCC_Contract TC Rules Update - Legal Rules</c:v>
                </c:pt>
                <c:pt idx="1">
                  <c:v>BSR to MMD_SCC_ Rules to set values to Data Privacy Schedules</c:v>
                </c:pt>
                <c:pt idx="2">
                  <c:v>MMD to SSW_Update on the Request Review functionality of "Any" instead of "All" and Technical Configuration Logic</c:v>
                </c:pt>
                <c:pt idx="3">
                  <c:v>MMD to SMA_Market Unit Buy and Market Buy Changes for Growth Markets and Europe</c:v>
                </c:pt>
                <c:pt idx="4">
                  <c:v>MMD to SMA_TPRM to MMD Integration</c:v>
                </c:pt>
                <c:pt idx="5">
                  <c:v>MMD SSSR to FIND_Serbia</c:v>
                </c:pt>
                <c:pt idx="6">
                  <c:v>SUB_SBS_Germany</c:v>
                </c:pt>
              </c:strCache>
            </c:strRef>
          </c:cat>
          <c:val>
            <c:numRef>
              <c:f>Report!$B$138:$B$146</c:f>
              <c:numCache>
                <c:formatCode>General</c:formatCode>
                <c:ptCount val="9"/>
                <c:pt idx="0">
                  <c:v>2</c:v>
                </c:pt>
                <c:pt idx="1">
                  <c:v>2</c:v>
                </c:pt>
                <c:pt idx="2">
                  <c:v>2</c:v>
                </c:pt>
                <c:pt idx="3">
                  <c:v>2</c:v>
                </c:pt>
                <c:pt idx="4">
                  <c:v>0</c:v>
                </c:pt>
                <c:pt idx="5">
                  <c:v>2</c:v>
                </c:pt>
                <c:pt idx="6">
                  <c:v>2</c:v>
                </c:pt>
                <c:pt idx="7">
                  <c:v>2</c:v>
                </c:pt>
                <c:pt idx="8">
                  <c:v>0</c:v>
                </c:pt>
              </c:numCache>
            </c:numRef>
          </c:val>
          <c:extLst xmlns:c15="http://schemas.microsoft.com/office/drawing/2012/chart">
            <c:ext xmlns:c16="http://schemas.microsoft.com/office/drawing/2014/chart" uri="{C3380CC4-5D6E-409C-BE32-E72D297353CC}">
              <c16:uniqueId val="{00000000-6B5F-4780-8636-7EB7F88BB84F}"/>
            </c:ext>
          </c:extLst>
        </c:ser>
        <c:ser>
          <c:idx val="1"/>
          <c:order val="1"/>
          <c:tx>
            <c:strRef>
              <c:f>Report!$C$137</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Report!$A$138:$A$146</c:f>
              <c:strCache>
                <c:ptCount val="7"/>
                <c:pt idx="0">
                  <c:v>MMD to SCC_Contract TC Rules Update - Legal Rules</c:v>
                </c:pt>
                <c:pt idx="1">
                  <c:v>BSR to MMD_SCC_ Rules to set values to Data Privacy Schedules</c:v>
                </c:pt>
                <c:pt idx="2">
                  <c:v>MMD to SSW_Update on the Request Review functionality of "Any" instead of "All" and Technical Configuration Logic</c:v>
                </c:pt>
                <c:pt idx="3">
                  <c:v>MMD to SMA_Market Unit Buy and Market Buy Changes for Growth Markets and Europe</c:v>
                </c:pt>
                <c:pt idx="4">
                  <c:v>MMD to SMA_TPRM to MMD Integration</c:v>
                </c:pt>
                <c:pt idx="5">
                  <c:v>MMD SSSR to FIND_Serbia</c:v>
                </c:pt>
                <c:pt idx="6">
                  <c:v>SUB_SBS_Germany</c:v>
                </c:pt>
              </c:strCache>
            </c:strRef>
          </c:cat>
          <c:val>
            <c:numRef>
              <c:f>Report!$C$138:$C$146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6B5F-4780-8636-7EB7F88BB84F}"/>
            </c:ext>
          </c:extLst>
        </c:ser>
        <c:ser>
          <c:idx val="2"/>
          <c:order val="2"/>
          <c:tx>
            <c:strRef>
              <c:f>Report!$D$137</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Report!$A$138:$A$146</c:f>
              <c:strCache>
                <c:ptCount val="7"/>
                <c:pt idx="0">
                  <c:v>MMD to SCC_Contract TC Rules Update - Legal Rules</c:v>
                </c:pt>
                <c:pt idx="1">
                  <c:v>BSR to MMD_SCC_ Rules to set values to Data Privacy Schedules</c:v>
                </c:pt>
                <c:pt idx="2">
                  <c:v>MMD to SSW_Update on the Request Review functionality of "Any" instead of "All" and Technical Configuration Logic</c:v>
                </c:pt>
                <c:pt idx="3">
                  <c:v>MMD to SMA_Market Unit Buy and Market Buy Changes for Growth Markets and Europe</c:v>
                </c:pt>
                <c:pt idx="4">
                  <c:v>MMD to SMA_TPRM to MMD Integration</c:v>
                </c:pt>
                <c:pt idx="5">
                  <c:v>MMD SSSR to FIND_Serbia</c:v>
                </c:pt>
                <c:pt idx="6">
                  <c:v>SUB_SBS_Germany</c:v>
                </c:pt>
              </c:strCache>
            </c:strRef>
          </c:cat>
          <c:val>
            <c:numRef>
              <c:f>Report!$D$138:$D$146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B5F-4780-8636-7EB7F88BB84F}"/>
            </c:ext>
          </c:extLst>
        </c:ser>
        <c:ser>
          <c:idx val="3"/>
          <c:order val="3"/>
          <c:tx>
            <c:strRef>
              <c:f>Report!$E$137</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Report!$A$138:$A$146</c:f>
              <c:strCache>
                <c:ptCount val="7"/>
                <c:pt idx="0">
                  <c:v>MMD to SCC_Contract TC Rules Update - Legal Rules</c:v>
                </c:pt>
                <c:pt idx="1">
                  <c:v>BSR to MMD_SCC_ Rules to set values to Data Privacy Schedules</c:v>
                </c:pt>
                <c:pt idx="2">
                  <c:v>MMD to SSW_Update on the Request Review functionality of "Any" instead of "All" and Technical Configuration Logic</c:v>
                </c:pt>
                <c:pt idx="3">
                  <c:v>MMD to SMA_Market Unit Buy and Market Buy Changes for Growth Markets and Europe</c:v>
                </c:pt>
                <c:pt idx="4">
                  <c:v>MMD to SMA_TPRM to MMD Integration</c:v>
                </c:pt>
                <c:pt idx="5">
                  <c:v>MMD SSSR to FIND_Serbia</c:v>
                </c:pt>
                <c:pt idx="6">
                  <c:v>SUB_SBS_Germany</c:v>
                </c:pt>
              </c:strCache>
            </c:strRef>
          </c:cat>
          <c:val>
            <c:numRef>
              <c:f>Report!$E$138:$E$146</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6B5F-4780-8636-7EB7F88BB84F}"/>
            </c:ext>
          </c:extLst>
        </c:ser>
        <c:ser>
          <c:idx val="4"/>
          <c:order val="4"/>
          <c:tx>
            <c:strRef>
              <c:f>Report!$F$137</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Report!$A$138:$A$146</c:f>
              <c:strCache>
                <c:ptCount val="7"/>
                <c:pt idx="0">
                  <c:v>MMD to SCC_Contract TC Rules Update - Legal Rules</c:v>
                </c:pt>
                <c:pt idx="1">
                  <c:v>BSR to MMD_SCC_ Rules to set values to Data Privacy Schedules</c:v>
                </c:pt>
                <c:pt idx="2">
                  <c:v>MMD to SSW_Update on the Request Review functionality of "Any" instead of "All" and Technical Configuration Logic</c:v>
                </c:pt>
                <c:pt idx="3">
                  <c:v>MMD to SMA_Market Unit Buy and Market Buy Changes for Growth Markets and Europe</c:v>
                </c:pt>
                <c:pt idx="4">
                  <c:v>MMD to SMA_TPRM to MMD Integration</c:v>
                </c:pt>
                <c:pt idx="5">
                  <c:v>MMD SSSR to FIND_Serbia</c:v>
                </c:pt>
                <c:pt idx="6">
                  <c:v>SUB_SBS_Germany</c:v>
                </c:pt>
              </c:strCache>
            </c:strRef>
          </c:cat>
          <c:val>
            <c:numRef>
              <c:f>Report!$F$138:$F$146</c:f>
              <c:numCache>
                <c:formatCode>General</c:formatCode>
                <c:ptCount val="9"/>
                <c:pt idx="0">
                  <c:v>0</c:v>
                </c:pt>
                <c:pt idx="1">
                  <c:v>0</c:v>
                </c:pt>
                <c:pt idx="2">
                  <c:v>0</c:v>
                </c:pt>
                <c:pt idx="3">
                  <c:v>0</c:v>
                </c:pt>
                <c:pt idx="4">
                  <c:v>2</c:v>
                </c:pt>
                <c:pt idx="5">
                  <c:v>0</c:v>
                </c:pt>
                <c:pt idx="6">
                  <c:v>0</c:v>
                </c:pt>
                <c:pt idx="7">
                  <c:v>0</c:v>
                </c:pt>
                <c:pt idx="8">
                  <c:v>0</c:v>
                </c:pt>
              </c:numCache>
            </c:numRef>
          </c:val>
          <c:extLst>
            <c:ext xmlns:c16="http://schemas.microsoft.com/office/drawing/2014/chart" uri="{C3380CC4-5D6E-409C-BE32-E72D297353CC}">
              <c16:uniqueId val="{00000004-6B5F-4780-8636-7EB7F88BB84F}"/>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8536562023204155"/>
          <c:y val="0.17040123556098974"/>
          <c:w val="0.47193928389632434"/>
          <c:h val="0.61132633325110564"/>
        </c:manualLayout>
      </c:layout>
      <c:barChart>
        <c:barDir val="bar"/>
        <c:grouping val="percentStacked"/>
        <c:varyColors val="0"/>
        <c:ser>
          <c:idx val="0"/>
          <c:order val="0"/>
          <c:tx>
            <c:strRef>
              <c:f>Report!$B$38</c:f>
              <c:strCache>
                <c:ptCount val="1"/>
                <c:pt idx="0">
                  <c:v>Passed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Report!$B$39:$B$41</c:f>
              <c:numCache>
                <c:formatCode>General</c:formatCode>
                <c:ptCount val="3"/>
                <c:pt idx="0">
                  <c:v>10</c:v>
                </c:pt>
                <c:pt idx="1">
                  <c:v>10</c:v>
                </c:pt>
                <c:pt idx="2">
                  <c:v>9</c:v>
                </c:pt>
              </c:numCache>
            </c:numRef>
          </c:val>
          <c:extLst xmlns:c15="http://schemas.microsoft.com/office/drawing/2012/chart">
            <c:ext xmlns:c16="http://schemas.microsoft.com/office/drawing/2014/chart" uri="{C3380CC4-5D6E-409C-BE32-E72D297353CC}">
              <c16:uniqueId val="{00000000-A673-4416-8944-2B99EAF98156}"/>
            </c:ext>
          </c:extLst>
        </c:ser>
        <c:ser>
          <c:idx val="1"/>
          <c:order val="1"/>
          <c:tx>
            <c:strRef>
              <c:f>Report!$C$38</c:f>
              <c:strCache>
                <c:ptCount val="1"/>
                <c:pt idx="0">
                  <c:v>Failed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Report!$C$39:$C$41</c:f>
              <c:numCache>
                <c:formatCode>General</c:formatCode>
                <c:ptCount val="3"/>
                <c:pt idx="0">
                  <c:v>0</c:v>
                </c:pt>
                <c:pt idx="1">
                  <c:v>0</c:v>
                </c:pt>
                <c:pt idx="2">
                  <c:v>0</c:v>
                </c:pt>
              </c:numCache>
            </c:numRef>
          </c:val>
          <c:extLst>
            <c:ext xmlns:c16="http://schemas.microsoft.com/office/drawing/2014/chart" uri="{C3380CC4-5D6E-409C-BE32-E72D297353CC}">
              <c16:uniqueId val="{00000001-A673-4416-8944-2B99EAF98156}"/>
            </c:ext>
          </c:extLst>
        </c:ser>
        <c:ser>
          <c:idx val="2"/>
          <c:order val="2"/>
          <c:tx>
            <c:strRef>
              <c:f>Report!$D$38</c:f>
              <c:strCache>
                <c:ptCount val="1"/>
                <c:pt idx="0">
                  <c:v>In Progress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Report!$D$39:$D$41</c:f>
              <c:numCache>
                <c:formatCode>General</c:formatCode>
                <c:ptCount val="3"/>
                <c:pt idx="0">
                  <c:v>0</c:v>
                </c:pt>
                <c:pt idx="1">
                  <c:v>0</c:v>
                </c:pt>
                <c:pt idx="2">
                  <c:v>0</c:v>
                </c:pt>
              </c:numCache>
            </c:numRef>
          </c:val>
          <c:extLst>
            <c:ext xmlns:c16="http://schemas.microsoft.com/office/drawing/2014/chart" uri="{C3380CC4-5D6E-409C-BE32-E72D297353CC}">
              <c16:uniqueId val="{00000002-A673-4416-8944-2B99EAF98156}"/>
            </c:ext>
          </c:extLst>
        </c:ser>
        <c:ser>
          <c:idx val="3"/>
          <c:order val="3"/>
          <c:tx>
            <c:strRef>
              <c:f>Report!$E$38</c:f>
              <c:strCache>
                <c:ptCount val="1"/>
                <c:pt idx="0">
                  <c:v>Not Started</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Report!$E$39:$E$41</c:f>
              <c:numCache>
                <c:formatCode>General</c:formatCode>
                <c:ptCount val="3"/>
                <c:pt idx="0">
                  <c:v>0</c:v>
                </c:pt>
                <c:pt idx="1">
                  <c:v>0</c:v>
                </c:pt>
                <c:pt idx="2">
                  <c:v>0</c:v>
                </c:pt>
              </c:numCache>
            </c:numRef>
          </c:val>
          <c:extLst>
            <c:ext xmlns:c16="http://schemas.microsoft.com/office/drawing/2014/chart" uri="{C3380CC4-5D6E-409C-BE32-E72D297353CC}">
              <c16:uniqueId val="{00000003-A673-4416-8944-2B99EAF98156}"/>
            </c:ext>
          </c:extLst>
        </c:ser>
        <c:ser>
          <c:idx val="4"/>
          <c:order val="4"/>
          <c:tx>
            <c:strRef>
              <c:f>Report!$F$38</c:f>
              <c:strCache>
                <c:ptCount val="1"/>
                <c:pt idx="0">
                  <c:v>Not Applicable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Report!$A$39:$A$41</c:f>
              <c:strCache>
                <c:ptCount val="3"/>
                <c:pt idx="0">
                  <c:v>Bug 1061641: [MMD BuySide][R26.3] Attribute Value discrepancy for "Is Contract Admin Present" for business status Assigned or Assignment Pending is displayed in Saved Search</c:v>
                </c:pt>
                <c:pt idx="1">
                  <c:v>User Story 1053554 [TPRM Initiative][Functional][Part 1] Update attribute labels and its values in MMD</c:v>
                </c:pt>
                <c:pt idx="2">
                  <c:v>User Story 1073960 [TPRM Initiative][Technical][Part 1]Update attribute mapping from Coupa to MMD system</c:v>
                </c:pt>
              </c:strCache>
            </c:strRef>
          </c:cat>
          <c:val>
            <c:numRef>
              <c:f>Report!$F$39:$F$41</c:f>
              <c:numCache>
                <c:formatCode>General</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4-A673-4416-8944-2B99EAF98156}"/>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45"/>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47-470F-B2C5-6A7C283BE0C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47-470F-B2C5-6A7C283BE0C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47-470F-B2C5-6A7C283BE0C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147-470F-B2C5-6A7C283BE0C6}"/>
              </c:ext>
            </c:extLst>
          </c:dPt>
          <c:dLbls>
            <c:dLbl>
              <c:idx val="0"/>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47-470F-B2C5-6A7C283BE0C6}"/>
                </c:ext>
              </c:extLst>
            </c:dLbl>
            <c:dLbl>
              <c:idx val="1"/>
              <c:layout>
                <c:manualLayout>
                  <c:x val="-1.0386300441479352E-2"/>
                  <c:y val="0.226125080476530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47-470F-B2C5-6A7C283BE0C6}"/>
                </c:ext>
              </c:extLst>
            </c:dLbl>
            <c:dLbl>
              <c:idx val="2"/>
              <c:delete val="1"/>
              <c:extLst>
                <c:ext xmlns:c15="http://schemas.microsoft.com/office/drawing/2012/chart" uri="{CE6537A1-D6FC-4f65-9D91-7224C49458BB}"/>
                <c:ext xmlns:c16="http://schemas.microsoft.com/office/drawing/2014/chart" uri="{C3380CC4-5D6E-409C-BE32-E72D297353CC}">
                  <c16:uniqueId val="{00000005-6147-470F-B2C5-6A7C283BE0C6}"/>
                </c:ext>
              </c:extLst>
            </c:dLbl>
            <c:dLbl>
              <c:idx val="3"/>
              <c:delete val="1"/>
              <c:extLst>
                <c:ext xmlns:c15="http://schemas.microsoft.com/office/drawing/2012/chart" uri="{CE6537A1-D6FC-4f65-9D91-7224C49458BB}"/>
                <c:ext xmlns:c16="http://schemas.microsoft.com/office/drawing/2014/chart" uri="{C3380CC4-5D6E-409C-BE32-E72D297353CC}">
                  <c16:uniqueId val="{00000007-6147-470F-B2C5-6A7C283BE0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Report!$B$42:$F$42</c15:sqref>
                  </c15:fullRef>
                </c:ext>
              </c:extLst>
              <c:f>Report!$B$42:$E$42</c:f>
              <c:strCache>
                <c:ptCount val="4"/>
                <c:pt idx="0">
                  <c:v>Passed</c:v>
                </c:pt>
                <c:pt idx="1">
                  <c:v>Failed</c:v>
                </c:pt>
                <c:pt idx="2">
                  <c:v>In Progress</c:v>
                </c:pt>
                <c:pt idx="3">
                  <c:v>Not Started</c:v>
                </c:pt>
              </c:strCache>
            </c:strRef>
          </c:cat>
          <c:val>
            <c:numRef>
              <c:extLst>
                <c:ext xmlns:c15="http://schemas.microsoft.com/office/drawing/2012/chart" uri="{02D57815-91ED-43cb-92C2-25804820EDAC}">
                  <c15:fullRef>
                    <c15:sqref>Report!$B$43:$F$43</c15:sqref>
                  </c15:fullRef>
                </c:ext>
              </c:extLst>
              <c:f>Report!$B$43:$E$43</c:f>
              <c:numCache>
                <c:formatCode>General</c:formatCode>
                <c:ptCount val="4"/>
                <c:pt idx="0">
                  <c:v>29</c:v>
                </c:pt>
                <c:pt idx="1">
                  <c:v>0</c:v>
                </c:pt>
                <c:pt idx="2">
                  <c:v>0</c:v>
                </c:pt>
                <c:pt idx="3">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6147-470F-B2C5-6A7C283BE0C6}"/>
            </c:ext>
          </c:extLst>
        </c:ser>
        <c:dLbls>
          <c:dLblPos val="bestFit"/>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8536562023204155"/>
          <c:y val="0.17040123556098974"/>
          <c:w val="0.47193928389632434"/>
          <c:h val="0.61132633325110564"/>
        </c:manualLayout>
      </c:layout>
      <c:barChart>
        <c:barDir val="bar"/>
        <c:grouping val="percentStacked"/>
        <c:varyColors val="0"/>
        <c:ser>
          <c:idx val="0"/>
          <c:order val="0"/>
          <c:tx>
            <c:strRef>
              <c:f>Report!$B$65</c:f>
              <c:strCache>
                <c:ptCount val="1"/>
                <c:pt idx="0">
                  <c:v>Passed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Report!$A$66:$A$70</c:f>
              <c:strCache>
                <c:ptCount val="5"/>
                <c:pt idx="0">
                  <c:v>Create Read-only role for Rules, clauses and templates in QA, Prodfix, Prod</c:v>
                </c:pt>
                <c:pt idx="1">
                  <c:v>Supplier Preferred Name Values Translation to Chinese</c:v>
                </c:pt>
                <c:pt idx="2">
                  <c:v> FY26 Collateral - Iberia Market Unit rename</c:v>
                </c:pt>
                <c:pt idx="3">
                  <c:v>[TPRM Initiative][Functional][Part 2] Update attribute labels and its values in MMD</c:v>
                </c:pt>
                <c:pt idx="4">
                  <c:v>Supplier Preferred Name Values Translation to French, Spanish, Italian, German and Portuguese</c:v>
                </c:pt>
              </c:strCache>
            </c:strRef>
          </c:cat>
          <c:val>
            <c:numRef>
              <c:f>Report!$B$66:$B$70</c:f>
              <c:numCache>
                <c:formatCode>General</c:formatCode>
                <c:ptCount val="5"/>
                <c:pt idx="0">
                  <c:v>16</c:v>
                </c:pt>
                <c:pt idx="1">
                  <c:v>129</c:v>
                </c:pt>
                <c:pt idx="2">
                  <c:v>21</c:v>
                </c:pt>
                <c:pt idx="3">
                  <c:v>5</c:v>
                </c:pt>
                <c:pt idx="4">
                  <c:v>438</c:v>
                </c:pt>
              </c:numCache>
            </c:numRef>
          </c:val>
          <c:extLst xmlns:c15="http://schemas.microsoft.com/office/drawing/2012/chart">
            <c:ext xmlns:c16="http://schemas.microsoft.com/office/drawing/2014/chart" uri="{C3380CC4-5D6E-409C-BE32-E72D297353CC}">
              <c16:uniqueId val="{00000000-1649-455E-A107-A4E8912001C8}"/>
            </c:ext>
          </c:extLst>
        </c:ser>
        <c:ser>
          <c:idx val="1"/>
          <c:order val="1"/>
          <c:tx>
            <c:strRef>
              <c:f>Report!$C$65</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Report!$A$66:$A$70</c:f>
              <c:strCache>
                <c:ptCount val="5"/>
                <c:pt idx="0">
                  <c:v>Create Read-only role for Rules, clauses and templates in QA, Prodfix, Prod</c:v>
                </c:pt>
                <c:pt idx="1">
                  <c:v>Supplier Preferred Name Values Translation to Chinese</c:v>
                </c:pt>
                <c:pt idx="2">
                  <c:v> FY26 Collateral - Iberia Market Unit rename</c:v>
                </c:pt>
                <c:pt idx="3">
                  <c:v>[TPRM Initiative][Functional][Part 2] Update attribute labels and its values in MMD</c:v>
                </c:pt>
                <c:pt idx="4">
                  <c:v>Supplier Preferred Name Values Translation to French, Spanish, Italian, German and Portuguese</c:v>
                </c:pt>
              </c:strCache>
            </c:strRef>
          </c:cat>
          <c:val>
            <c:numRef>
              <c:f>Report!$C$66:$C$70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1649-455E-A107-A4E8912001C8}"/>
            </c:ext>
          </c:extLst>
        </c:ser>
        <c:ser>
          <c:idx val="2"/>
          <c:order val="2"/>
          <c:tx>
            <c:strRef>
              <c:f>Report!$D$65</c:f>
              <c:strCache>
                <c:ptCount val="1"/>
                <c:pt idx="0">
                  <c:v>In Progress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4"/>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37-4EF8-B13C-265C3ACA15F1}"/>
              </c:ext>
            </c:extLst>
          </c:dPt>
          <c:cat>
            <c:strRef>
              <c:f>Report!$A$66:$A$70</c:f>
              <c:strCache>
                <c:ptCount val="5"/>
                <c:pt idx="0">
                  <c:v>Create Read-only role for Rules, clauses and templates in QA, Prodfix, Prod</c:v>
                </c:pt>
                <c:pt idx="1">
                  <c:v>Supplier Preferred Name Values Translation to Chinese</c:v>
                </c:pt>
                <c:pt idx="2">
                  <c:v> FY26 Collateral - Iberia Market Unit rename</c:v>
                </c:pt>
                <c:pt idx="3">
                  <c:v>[TPRM Initiative][Functional][Part 2] Update attribute labels and its values in MMD</c:v>
                </c:pt>
                <c:pt idx="4">
                  <c:v>Supplier Preferred Name Values Translation to French, Spanish, Italian, German and Portuguese</c:v>
                </c:pt>
              </c:strCache>
            </c:strRef>
          </c:cat>
          <c:val>
            <c:numRef>
              <c:f>Report!$D$66:$D$70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1649-455E-A107-A4E8912001C8}"/>
            </c:ext>
          </c:extLst>
        </c:ser>
        <c:ser>
          <c:idx val="3"/>
          <c:order val="3"/>
          <c:tx>
            <c:strRef>
              <c:f>Report!$E$65</c:f>
              <c:strCache>
                <c:ptCount val="1"/>
                <c:pt idx="0">
                  <c:v>Not Started</c:v>
                </c:pt>
              </c:strCache>
            </c:strRef>
          </c:tx>
          <c:spPr>
            <a:solidFill>
              <a:schemeClr val="bg2">
                <a:lumMod val="75000"/>
              </a:schemeClr>
            </a:solidFill>
            <a:ln>
              <a:noFill/>
            </a:ln>
            <a:effectLst>
              <a:outerShdw blurRad="57150" dist="19050" dir="5400000" algn="ctr" rotWithShape="0">
                <a:srgbClr val="000000">
                  <a:alpha val="63000"/>
                </a:srgbClr>
              </a:outerShdw>
            </a:effectLst>
          </c:spPr>
          <c:invertIfNegative val="0"/>
          <c:cat>
            <c:strRef>
              <c:f>Report!$A$66:$A$70</c:f>
              <c:strCache>
                <c:ptCount val="5"/>
                <c:pt idx="0">
                  <c:v>Create Read-only role for Rules, clauses and templates in QA, Prodfix, Prod</c:v>
                </c:pt>
                <c:pt idx="1">
                  <c:v>Supplier Preferred Name Values Translation to Chinese</c:v>
                </c:pt>
                <c:pt idx="2">
                  <c:v> FY26 Collateral - Iberia Market Unit rename</c:v>
                </c:pt>
                <c:pt idx="3">
                  <c:v>[TPRM Initiative][Functional][Part 2] Update attribute labels and its values in MMD</c:v>
                </c:pt>
                <c:pt idx="4">
                  <c:v>Supplier Preferred Name Values Translation to French, Spanish, Italian, German and Portuguese</c:v>
                </c:pt>
              </c:strCache>
            </c:strRef>
          </c:cat>
          <c:val>
            <c:numRef>
              <c:f>Report!$E$66:$E$70</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1649-455E-A107-A4E8912001C8}"/>
            </c:ext>
          </c:extLst>
        </c:ser>
        <c:dLbls>
          <c:showLegendKey val="0"/>
          <c:showVal val="0"/>
          <c:showCatName val="0"/>
          <c:showSerName val="0"/>
          <c:showPercent val="0"/>
          <c:showBubbleSize val="0"/>
        </c:dLbls>
        <c:gapWidth val="150"/>
        <c:overlap val="100"/>
        <c:axId val="809209760"/>
        <c:axId val="809214752"/>
        <c:extLst>
          <c:ext xmlns:c15="http://schemas.microsoft.com/office/drawing/2012/chart" uri="{02D57815-91ED-43cb-92C2-25804820EDAC}">
            <c15:filteredBarSeries>
              <c15:ser>
                <c:idx val="4"/>
                <c:order val="4"/>
                <c:tx>
                  <c:strRef>
                    <c:extLst>
                      <c:ext uri="{02D57815-91ED-43cb-92C2-25804820EDAC}">
                        <c15:formulaRef>
                          <c15:sqref>Report!$F$65</c15:sqref>
                        </c15:formulaRef>
                      </c:ext>
                    </c:extLst>
                    <c:strCache>
                      <c:ptCount val="1"/>
                      <c:pt idx="0">
                        <c:v>Not Applicable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Report!$A$66:$A$70</c15:sqref>
                        </c15:formulaRef>
                      </c:ext>
                    </c:extLst>
                    <c:strCache>
                      <c:ptCount val="5"/>
                      <c:pt idx="0">
                        <c:v>Create Read-only role for Rules, clauses and templates in QA, Prodfix, Prod</c:v>
                      </c:pt>
                      <c:pt idx="1">
                        <c:v>Supplier Preferred Name Values Translation to Chinese</c:v>
                      </c:pt>
                      <c:pt idx="2">
                        <c:v> FY26 Collateral - Iberia Market Unit rename</c:v>
                      </c:pt>
                      <c:pt idx="3">
                        <c:v>[TPRM Initiative][Functional][Part 2] Update attribute labels and its values in MMD</c:v>
                      </c:pt>
                      <c:pt idx="4">
                        <c:v>Supplier Preferred Name Values Translation to French, Spanish, Italian, German and Portuguese</c:v>
                      </c:pt>
                    </c:strCache>
                  </c:strRef>
                </c:cat>
                <c:val>
                  <c:numRef>
                    <c:extLst>
                      <c:ext uri="{02D57815-91ED-43cb-92C2-25804820EDAC}">
                        <c15:formulaRef>
                          <c15:sqref>Report!$F$66:$F$70</c15:sqref>
                        </c15:formulaRef>
                      </c:ext>
                    </c:extLst>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4-1649-455E-A107-A4E8912001C8}"/>
                  </c:ext>
                </c:extLst>
              </c15:ser>
            </c15:filteredBarSeries>
          </c:ext>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61386132731773"/>
          <c:y val="0.19480286275690947"/>
          <c:w val="0.81571854013210887"/>
          <c:h val="0.63099493710827126"/>
        </c:manualLayout>
      </c:layout>
      <c:pie3DChart>
        <c:varyColors val="1"/>
        <c:ser>
          <c:idx val="0"/>
          <c:order val="0"/>
          <c:explosion val="45"/>
          <c:dPt>
            <c:idx val="0"/>
            <c:bubble3D val="0"/>
            <c:explosion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837-4735-8674-64F99831B35F}"/>
              </c:ext>
            </c:extLst>
          </c:dPt>
          <c:dPt>
            <c:idx val="1"/>
            <c:bubble3D val="0"/>
            <c:explosion val="4"/>
            <c:spPr>
              <a:solidFill>
                <a:schemeClr val="accent4">
                  <a:lumMod val="60000"/>
                  <a:lumOff val="4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837-4735-8674-64F99831B35F}"/>
              </c:ext>
            </c:extLst>
          </c:dPt>
          <c:dPt>
            <c:idx val="2"/>
            <c:bubble3D val="0"/>
            <c:explosion val="4"/>
            <c:spPr>
              <a:solidFill>
                <a:schemeClr val="bg2">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837-4735-8674-64F99831B35F}"/>
              </c:ext>
            </c:extLst>
          </c:dPt>
          <c:dLbls>
            <c:dLbl>
              <c:idx val="0"/>
              <c:layout>
                <c:manualLayout>
                  <c:x val="-3.597644344976665E-3"/>
                  <c:y val="-1.0928961748633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37-4735-8674-64F99831B35F}"/>
                </c:ext>
              </c:extLst>
            </c:dLbl>
            <c:dLbl>
              <c:idx val="1"/>
              <c:delete val="1"/>
              <c:extLst>
                <c:ext xmlns:c15="http://schemas.microsoft.com/office/drawing/2012/chart" uri="{CE6537A1-D6FC-4f65-9D91-7224C49458BB}"/>
                <c:ext xmlns:c16="http://schemas.microsoft.com/office/drawing/2014/chart" uri="{C3380CC4-5D6E-409C-BE32-E72D297353CC}">
                  <c16:uniqueId val="{00000005-7837-4735-8674-64F99831B35F}"/>
                </c:ext>
              </c:extLst>
            </c:dLbl>
            <c:dLbl>
              <c:idx val="2"/>
              <c:delete val="1"/>
              <c:extLst>
                <c:ext xmlns:c15="http://schemas.microsoft.com/office/drawing/2012/chart" uri="{CE6537A1-D6FC-4f65-9D91-7224C49458BB}"/>
                <c:ext xmlns:c16="http://schemas.microsoft.com/office/drawing/2014/chart" uri="{C3380CC4-5D6E-409C-BE32-E72D297353CC}">
                  <c16:uniqueId val="{00000007-7837-4735-8674-64F99831B3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Report!$B$71:$F$71</c15:sqref>
                  </c15:fullRef>
                </c:ext>
              </c:extLst>
              <c:f>(Report!$B$71,Report!$D$71:$E$71)</c:f>
              <c:strCache>
                <c:ptCount val="3"/>
                <c:pt idx="0">
                  <c:v>Passed</c:v>
                </c:pt>
                <c:pt idx="1">
                  <c:v>In Progress</c:v>
                </c:pt>
                <c:pt idx="2">
                  <c:v>Not Started</c:v>
                </c:pt>
              </c:strCache>
            </c:strRef>
          </c:cat>
          <c:val>
            <c:numRef>
              <c:extLst>
                <c:ext xmlns:c15="http://schemas.microsoft.com/office/drawing/2012/chart" uri="{02D57815-91ED-43cb-92C2-25804820EDAC}">
                  <c15:fullRef>
                    <c15:sqref>Report!$B$72:$F$72</c15:sqref>
                  </c15:fullRef>
                </c:ext>
              </c:extLst>
              <c:f>(Report!$B$72,Report!$D$72:$E$72)</c:f>
              <c:numCache>
                <c:formatCode>0</c:formatCode>
                <c:ptCount val="3"/>
                <c:pt idx="0">
                  <c:v>609</c:v>
                </c:pt>
                <c:pt idx="1">
                  <c:v>0</c:v>
                </c:pt>
                <c:pt idx="2">
                  <c:v>0</c:v>
                </c:pt>
              </c:numCache>
            </c:numRef>
          </c:val>
          <c:extLst>
            <c:ext xmlns:c15="http://schemas.microsoft.com/office/drawing/2012/chart" uri="{02D57815-91ED-43cb-92C2-25804820EDAC}">
              <c15:categoryFilterExceptions>
                <c15:categoryFilterException>
                  <c15:sqref>Report!$C$72</c15:sqref>
                  <c15:spPr xmlns:c15="http://schemas.microsoft.com/office/drawing/2012/chart">
                    <a:solidFill>
                      <a:srgbClr val="FF0000"/>
                    </a:solidFill>
                    <a:ln>
                      <a:noFill/>
                    </a:ln>
                    <a:effectLst>
                      <a:outerShdw blurRad="57150" dist="19050" dir="5400000" algn="ctr" rotWithShape="0">
                        <a:srgbClr val="000000">
                          <a:alpha val="63000"/>
                        </a:srgbClr>
                      </a:outerShdw>
                    </a:effectLst>
                    <a:sp3d/>
                  </c15:spPr>
                  <c15:explosion val="4"/>
                  <c15:bubble3D val="0"/>
                  <c15:dLbl>
                    <c:idx val="0"/>
                    <c:delete val="1"/>
                    <c:extLst>
                      <c:ext uri="{CE6537A1-D6FC-4f65-9D91-7224C49458BB}"/>
                      <c:ext xmlns:c16="http://schemas.microsoft.com/office/drawing/2014/chart" uri="{C3380CC4-5D6E-409C-BE32-E72D297353CC}">
                        <c16:uniqueId val="{00000007-F7C6-4043-AD48-2222E452B033}"/>
                      </c:ext>
                    </c:extLst>
                  </c15:dLbl>
                </c15:categoryFilterException>
              </c15:categoryFilterExceptions>
            </c:ext>
            <c:ext xmlns:c16="http://schemas.microsoft.com/office/drawing/2014/chart" uri="{C3380CC4-5D6E-409C-BE32-E72D297353CC}">
              <c16:uniqueId val="{00000008-7837-4735-8674-64F99831B35F}"/>
            </c:ext>
          </c:extLst>
        </c:ser>
        <c:dLbls>
          <c:dLblPos val="inEnd"/>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chemeClr val="accent6"/>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09B-43FB-BC3B-FEDB1824CFB6}"/>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09B-43FB-BC3B-FEDB1824CFB6}"/>
              </c:ext>
            </c:extLst>
          </c:dPt>
          <c:dPt>
            <c:idx val="2"/>
            <c:bubble3D val="0"/>
            <c:spPr>
              <a:solidFill>
                <a:schemeClr val="accent4"/>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09B-43FB-BC3B-FEDB1824CFB6}"/>
              </c:ext>
            </c:extLst>
          </c:dPt>
          <c:dPt>
            <c:idx val="3"/>
            <c:bubble3D val="0"/>
            <c:spPr>
              <a:solidFill>
                <a:schemeClr val="bg1">
                  <a:lumMod val="6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09B-43FB-BC3B-FEDB1824CFB6}"/>
              </c:ext>
            </c:extLst>
          </c:dPt>
          <c:dLbls>
            <c:dLbl>
              <c:idx val="0"/>
              <c:tx>
                <c:rich>
                  <a:bodyPr/>
                  <a:lstStyle/>
                  <a:p>
                    <a:fld id="{EE879F68-31F3-4AA0-A5D1-5C088C429319}" type="PERCENTAGE">
                      <a:rPr lang="en-US"/>
                      <a:pPr/>
                      <a:t>[]</a:t>
                    </a:fld>
                    <a:r>
                      <a:rPr lang="en-US"/>
                      <a:t> Passed</a:t>
                    </a:r>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09B-43FB-BC3B-FEDB1824CFB6}"/>
                </c:ext>
              </c:extLst>
            </c:dLbl>
            <c:dLbl>
              <c:idx val="1"/>
              <c:tx>
                <c:rich>
                  <a:bodyPr/>
                  <a:lstStyle/>
                  <a:p>
                    <a:fld id="{9BCFBEA7-A421-42F1-B532-1F466A885F1C}" type="PERCENTAGE">
                      <a:rPr lang="en-US"/>
                      <a:pPr/>
                      <a:t>[]</a:t>
                    </a:fld>
                    <a:endParaRPr lang="en-US"/>
                  </a:p>
                  <a:p>
                    <a:r>
                      <a:rPr lang="en-US"/>
                      <a:t>Failed</a:t>
                    </a:r>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09B-43FB-BC3B-FEDB1824CFB6}"/>
                </c:ext>
              </c:extLst>
            </c:dLbl>
            <c:dLbl>
              <c:idx val="2"/>
              <c:layout>
                <c:manualLayout>
                  <c:x val="1.8795145290754958E-2"/>
                  <c:y val="-1.1428771684263575E-2"/>
                </c:manualLayout>
              </c:layout>
              <c:tx>
                <c:rich>
                  <a:bodyPr/>
                  <a:lstStyle/>
                  <a:p>
                    <a:fld id="{CBBCDE79-ECB6-4352-BF89-4D9DCF8BAE76}" type="PERCENTAGE">
                      <a:rPr lang="en-US"/>
                      <a:pPr/>
                      <a:t>[]</a:t>
                    </a:fld>
                    <a:endParaRPr lang="en-US"/>
                  </a:p>
                  <a:p>
                    <a:r>
                      <a:rPr lang="en-US"/>
                      <a:t>In Progress</a:t>
                    </a:r>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09B-43FB-BC3B-FEDB1824CFB6}"/>
                </c:ext>
              </c:extLst>
            </c:dLbl>
            <c:dLbl>
              <c:idx val="3"/>
              <c:delete val="1"/>
              <c:extLst>
                <c:ext xmlns:c15="http://schemas.microsoft.com/office/drawing/2012/chart" uri="{CE6537A1-D6FC-4f65-9D91-7224C49458BB}"/>
                <c:ext xmlns:c16="http://schemas.microsoft.com/office/drawing/2014/chart" uri="{C3380CC4-5D6E-409C-BE32-E72D297353CC}">
                  <c16:uniqueId val="{00000007-D09B-43FB-BC3B-FEDB1824CF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extLst>
                <c:ext xmlns:c15="http://schemas.microsoft.com/office/drawing/2012/chart" uri="{02D57815-91ED-43cb-92C2-25804820EDAC}">
                  <c15:fullRef>
                    <c15:sqref>Report!$B$175:$F$175</c15:sqref>
                  </c15:fullRef>
                </c:ext>
              </c:extLst>
              <c:f>Report!$B$175:$E$175</c:f>
              <c:strCache>
                <c:ptCount val="4"/>
                <c:pt idx="0">
                  <c:v>Passed</c:v>
                </c:pt>
                <c:pt idx="1">
                  <c:v>Failed</c:v>
                </c:pt>
                <c:pt idx="2">
                  <c:v>In Progress</c:v>
                </c:pt>
                <c:pt idx="3">
                  <c:v>Not Started</c:v>
                </c:pt>
              </c:strCache>
            </c:strRef>
          </c:cat>
          <c:val>
            <c:numRef>
              <c:extLst>
                <c:ext xmlns:c15="http://schemas.microsoft.com/office/drawing/2012/chart" uri="{02D57815-91ED-43cb-92C2-25804820EDAC}">
                  <c15:fullRef>
                    <c15:sqref>Report!$B$176:$F$176</c15:sqref>
                  </c15:fullRef>
                </c:ext>
              </c:extLst>
              <c:f>Report!$B$176:$E$176</c:f>
              <c:numCache>
                <c:formatCode>0</c:formatCode>
                <c:ptCount val="4"/>
                <c:pt idx="0">
                  <c:v>159</c:v>
                </c:pt>
                <c:pt idx="1">
                  <c:v>5</c:v>
                </c:pt>
                <c:pt idx="2">
                  <c:v>0</c:v>
                </c:pt>
                <c:pt idx="3">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D09B-43FB-BC3B-FEDB1824CFB6}"/>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Report!$B$167</c:f>
              <c:strCache>
                <c:ptCount val="1"/>
                <c:pt idx="0">
                  <c:v>Passed</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Report!$A$168:$A$174</c:f>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f>Report!$B$168:$B$174</c:f>
              <c:numCache>
                <c:formatCode>General</c:formatCode>
                <c:ptCount val="7"/>
                <c:pt idx="0">
                  <c:v>25</c:v>
                </c:pt>
                <c:pt idx="1">
                  <c:v>41</c:v>
                </c:pt>
                <c:pt idx="2">
                  <c:v>50</c:v>
                </c:pt>
                <c:pt idx="3">
                  <c:v>6</c:v>
                </c:pt>
                <c:pt idx="4">
                  <c:v>24</c:v>
                </c:pt>
                <c:pt idx="5">
                  <c:v>0</c:v>
                </c:pt>
                <c:pt idx="6">
                  <c:v>13</c:v>
                </c:pt>
              </c:numCache>
            </c:numRef>
          </c:val>
          <c:extLst xmlns:c15="http://schemas.microsoft.com/office/drawing/2012/chart">
            <c:ext xmlns:c16="http://schemas.microsoft.com/office/drawing/2014/chart" uri="{C3380CC4-5D6E-409C-BE32-E72D297353CC}">
              <c16:uniqueId val="{00000000-BF91-41A0-BB14-E9568854429A}"/>
            </c:ext>
          </c:extLst>
        </c:ser>
        <c:ser>
          <c:idx val="1"/>
          <c:order val="1"/>
          <c:tx>
            <c:strRef>
              <c:f>Report!$C$167</c:f>
              <c:strCache>
                <c:ptCount val="1"/>
                <c:pt idx="0">
                  <c:v>Failed</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Report!$A$168:$A$174</c:f>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f>Report!$C$168:$C$174</c:f>
              <c:numCache>
                <c:formatCode>General</c:formatCode>
                <c:ptCount val="7"/>
                <c:pt idx="0">
                  <c:v>2</c:v>
                </c:pt>
                <c:pt idx="1">
                  <c:v>0</c:v>
                </c:pt>
                <c:pt idx="2">
                  <c:v>3</c:v>
                </c:pt>
                <c:pt idx="3">
                  <c:v>0</c:v>
                </c:pt>
                <c:pt idx="4">
                  <c:v>0</c:v>
                </c:pt>
                <c:pt idx="5">
                  <c:v>0</c:v>
                </c:pt>
                <c:pt idx="6">
                  <c:v>0</c:v>
                </c:pt>
              </c:numCache>
            </c:numRef>
          </c:val>
          <c:extLst>
            <c:ext xmlns:c16="http://schemas.microsoft.com/office/drawing/2014/chart" uri="{C3380CC4-5D6E-409C-BE32-E72D297353CC}">
              <c16:uniqueId val="{00000001-BF91-41A0-BB14-E9568854429A}"/>
            </c:ext>
          </c:extLst>
        </c:ser>
        <c:ser>
          <c:idx val="2"/>
          <c:order val="2"/>
          <c:tx>
            <c:strRef>
              <c:f>Report!$D$167</c:f>
              <c:strCache>
                <c:ptCount val="1"/>
                <c:pt idx="0">
                  <c:v>In Progress</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Report!$A$168:$A$174</c:f>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f>Report!$D$168:$D$174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BF91-41A0-BB14-E9568854429A}"/>
            </c:ext>
          </c:extLst>
        </c:ser>
        <c:ser>
          <c:idx val="3"/>
          <c:order val="3"/>
          <c:tx>
            <c:strRef>
              <c:f>Report!$E$167</c:f>
              <c:strCache>
                <c:ptCount val="1"/>
                <c:pt idx="0">
                  <c:v>Not Started</c:v>
                </c:pt>
              </c:strCache>
            </c:strRef>
          </c:tx>
          <c:spPr>
            <a:solidFill>
              <a:schemeClr val="bg1">
                <a:lumMod val="50000"/>
              </a:schemeClr>
            </a:solidFill>
            <a:ln>
              <a:solidFill>
                <a:schemeClr val="bg1">
                  <a:lumMod val="65000"/>
                </a:schemeClr>
              </a:solidFill>
            </a:ln>
            <a:effectLst>
              <a:outerShdw blurRad="57150" dist="19050" dir="5400000" algn="ctr" rotWithShape="0">
                <a:srgbClr val="000000">
                  <a:alpha val="63000"/>
                </a:srgbClr>
              </a:outerShdw>
            </a:effectLst>
          </c:spPr>
          <c:invertIfNegative val="0"/>
          <c:cat>
            <c:strRef>
              <c:f>Report!$A$168:$A$174</c:f>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f>Report!$E$168:$E$174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BF91-41A0-BB14-E9568854429A}"/>
            </c:ext>
          </c:extLst>
        </c:ser>
        <c:ser>
          <c:idx val="4"/>
          <c:order val="4"/>
          <c:tx>
            <c:strRef>
              <c:f>Report!$F$167</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Report!$A$168:$A$174</c:f>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f>Report!$F$168:$F$174</c:f>
              <c:numCache>
                <c:formatCode>General</c:formatCode>
                <c:ptCount val="7"/>
                <c:pt idx="0">
                  <c:v>0</c:v>
                </c:pt>
                <c:pt idx="1">
                  <c:v>0</c:v>
                </c:pt>
                <c:pt idx="2">
                  <c:v>0</c:v>
                </c:pt>
                <c:pt idx="3">
                  <c:v>0</c:v>
                </c:pt>
                <c:pt idx="4">
                  <c:v>0</c:v>
                </c:pt>
                <c:pt idx="5">
                  <c:v>28</c:v>
                </c:pt>
                <c:pt idx="6">
                  <c:v>0</c:v>
                </c:pt>
              </c:numCache>
            </c:numRef>
          </c:val>
          <c:extLst>
            <c:ext xmlns:c16="http://schemas.microsoft.com/office/drawing/2014/chart" uri="{C3380CC4-5D6E-409C-BE32-E72D297353CC}">
              <c16:uniqueId val="{00000004-BF91-41A0-BB14-E9568854429A}"/>
            </c:ext>
          </c:extLst>
        </c:ser>
        <c:dLbls>
          <c:showLegendKey val="0"/>
          <c:showVal val="0"/>
          <c:showCatName val="0"/>
          <c:showSerName val="0"/>
          <c:showPercent val="0"/>
          <c:showBubbleSize val="0"/>
        </c:dLbls>
        <c:gapWidth val="150"/>
        <c:overlap val="100"/>
        <c:axId val="809209760"/>
        <c:axId val="809214752"/>
        <c:extLst>
          <c:ext xmlns:c15="http://schemas.microsoft.com/office/drawing/2012/chart" uri="{02D57815-91ED-43cb-92C2-25804820EDAC}">
            <c15:filteredBarSeries>
              <c15:ser>
                <c:idx val="5"/>
                <c:order val="5"/>
                <c:tx>
                  <c:strRef>
                    <c:extLst>
                      <c:ext uri="{02D57815-91ED-43cb-92C2-25804820EDAC}">
                        <c15:formulaRef>
                          <c15:sqref>Report!$G$167</c15:sqref>
                        </c15:formulaRef>
                      </c:ext>
                    </c:extLst>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c:ext uri="{02D57815-91ED-43cb-92C2-25804820EDAC}">
                        <c15:formulaRef>
                          <c15:sqref>Report!$A$168:$A$174</c15:sqref>
                        </c15:formulaRef>
                      </c:ext>
                    </c:extLst>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extLst>
                      <c:ext uri="{02D57815-91ED-43cb-92C2-25804820EDAC}">
                        <c15:formulaRef>
                          <c15:sqref>Report!$G$168:$G$174</c15:sqref>
                        </c15:formulaRef>
                      </c:ext>
                    </c:extLst>
                    <c:numCache>
                      <c:formatCode>0</c:formatCode>
                      <c:ptCount val="7"/>
                      <c:pt idx="0" formatCode="General">
                        <c:v>27</c:v>
                      </c:pt>
                      <c:pt idx="1">
                        <c:v>41</c:v>
                      </c:pt>
                      <c:pt idx="2">
                        <c:v>53</c:v>
                      </c:pt>
                      <c:pt idx="3">
                        <c:v>6</c:v>
                      </c:pt>
                      <c:pt idx="4">
                        <c:v>24</c:v>
                      </c:pt>
                      <c:pt idx="5" formatCode="General">
                        <c:v>0</c:v>
                      </c:pt>
                      <c:pt idx="6" formatCode="General">
                        <c:v>13</c:v>
                      </c:pt>
                    </c:numCache>
                  </c:numRef>
                </c:val>
                <c:extLst>
                  <c:ext xmlns:c16="http://schemas.microsoft.com/office/drawing/2014/chart" uri="{C3380CC4-5D6E-409C-BE32-E72D297353CC}">
                    <c16:uniqueId val="{00000005-BF91-41A0-BB14-E9568854429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Report!$H$167</c15:sqref>
                        </c15:formulaRef>
                      </c:ext>
                    </c:extLst>
                    <c:strCache>
                      <c:ptCount val="1"/>
                      <c:pt idx="0">
                        <c:v>Tota - NA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extLst xmlns:c15="http://schemas.microsoft.com/office/drawing/2012/chart">
                      <c:ext xmlns:c15="http://schemas.microsoft.com/office/drawing/2012/chart" uri="{02D57815-91ED-43cb-92C2-25804820EDAC}">
                        <c15:formulaRef>
                          <c15:sqref>Report!$A$168:$A$174</c15:sqref>
                        </c15:formulaRef>
                      </c:ext>
                    </c:extLst>
                    <c:strCache>
                      <c:ptCount val="7"/>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strCache>
                  </c:strRef>
                </c:cat>
                <c:val>
                  <c:numRef>
                    <c:extLst xmlns:c15="http://schemas.microsoft.com/office/drawing/2012/chart">
                      <c:ext xmlns:c15="http://schemas.microsoft.com/office/drawing/2012/chart" uri="{02D57815-91ED-43cb-92C2-25804820EDAC}">
                        <c15:formulaRef>
                          <c15:sqref>Report!$H$168:$H$174</c15:sqref>
                        </c15:formulaRef>
                      </c:ext>
                    </c:extLst>
                    <c:numCache>
                      <c:formatCode>0</c:formatCode>
                      <c:ptCount val="7"/>
                    </c:numCache>
                  </c:numRef>
                </c:val>
                <c:extLst xmlns:c15="http://schemas.microsoft.com/office/drawing/2012/chart">
                  <c:ext xmlns:c16="http://schemas.microsoft.com/office/drawing/2014/chart" uri="{C3380CC4-5D6E-409C-BE32-E72D297353CC}">
                    <c16:uniqueId val="{00000006-BF91-41A0-BB14-E9568854429A}"/>
                  </c:ext>
                </c:extLst>
              </c15:ser>
            </c15:filteredBarSeries>
          </c:ext>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3BE-42A4-8969-7F7F789AA954}"/>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3BE-42A4-8969-7F7F789AA954}"/>
              </c:ext>
            </c:extLst>
          </c:dPt>
          <c:dPt>
            <c:idx val="2"/>
            <c:bubble3D val="0"/>
            <c:spPr>
              <a:solidFill>
                <a:schemeClr val="accent6"/>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3BE-42A4-8969-7F7F789AA954}"/>
              </c:ext>
            </c:extLst>
          </c:dPt>
          <c:dPt>
            <c:idx val="3"/>
            <c:bubble3D val="0"/>
            <c:spPr>
              <a:solidFill>
                <a:schemeClr val="bg2">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3BE-42A4-8969-7F7F789AA954}"/>
              </c:ext>
            </c:extLst>
          </c:dPt>
          <c:dLbls>
            <c:dLbl>
              <c:idx val="0"/>
              <c:layout>
                <c:manualLayout>
                  <c:x val="-3.5189222269956653E-2"/>
                  <c:y val="2.0057879944392384E-2"/>
                </c:manualLayout>
              </c:layout>
              <c:dLblPos val="bestFit"/>
              <c:showLegendKey val="1"/>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3BE-42A4-8969-7F7F789AA954}"/>
                </c:ext>
              </c:extLst>
            </c:dLbl>
            <c:dLbl>
              <c:idx val="1"/>
              <c:delete val="1"/>
              <c:extLst>
                <c:ext xmlns:c15="http://schemas.microsoft.com/office/drawing/2012/chart" uri="{CE6537A1-D6FC-4f65-9D91-7224C49458BB}"/>
                <c:ext xmlns:c16="http://schemas.microsoft.com/office/drawing/2014/chart" uri="{C3380CC4-5D6E-409C-BE32-E72D297353CC}">
                  <c16:uniqueId val="{00000003-F3BE-42A4-8969-7F7F789AA954}"/>
                </c:ext>
              </c:extLst>
            </c:dLbl>
            <c:dLbl>
              <c:idx val="2"/>
              <c:delete val="1"/>
              <c:extLst>
                <c:ext xmlns:c15="http://schemas.microsoft.com/office/drawing/2012/chart" uri="{CE6537A1-D6FC-4f65-9D91-7224C49458BB}"/>
                <c:ext xmlns:c16="http://schemas.microsoft.com/office/drawing/2014/chart" uri="{C3380CC4-5D6E-409C-BE32-E72D297353CC}">
                  <c16:uniqueId val="{00000005-F3BE-42A4-8969-7F7F789AA954}"/>
                </c:ext>
              </c:extLst>
            </c:dLbl>
            <c:dLbl>
              <c:idx val="3"/>
              <c:delete val="1"/>
              <c:extLst>
                <c:ext xmlns:c15="http://schemas.microsoft.com/office/drawing/2012/chart" uri="{CE6537A1-D6FC-4f65-9D91-7224C49458BB}"/>
                <c:ext xmlns:c16="http://schemas.microsoft.com/office/drawing/2014/chart" uri="{C3380CC4-5D6E-409C-BE32-E72D297353CC}">
                  <c16:uniqueId val="{00000007-F3BE-42A4-8969-7F7F789AA954}"/>
                </c:ext>
              </c:extLst>
            </c:dLbl>
            <c:spPr>
              <a:noFill/>
              <a:ln>
                <a:noFill/>
              </a:ln>
              <a:effectLst/>
            </c:spPr>
            <c:txPr>
              <a:bodyPr rot="0" spcFirstLastPara="1" vertOverflow="overflow" horzOverflow="overflow"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bestFit"/>
            <c:showLegendKey val="1"/>
            <c:showVal val="0"/>
            <c:showCatName val="1"/>
            <c:showSerName val="0"/>
            <c:showPercent val="1"/>
            <c:showBubbleSize val="0"/>
            <c:separator>
</c:separator>
            <c:showLeaderLines val="0"/>
            <c:extLst>
              <c:ext xmlns:c15="http://schemas.microsoft.com/office/drawing/2012/chart" uri="{CE6537A1-D6FC-4f65-9D91-7224C49458BB}"/>
            </c:extLst>
          </c:dLbls>
          <c:cat>
            <c:strRef>
              <c:extLst>
                <c:ext xmlns:c15="http://schemas.microsoft.com/office/drawing/2012/chart" uri="{02D57815-91ED-43cb-92C2-25804820EDAC}">
                  <c15:fullRef>
                    <c15:sqref>Report!$B$110:$F$110</c15:sqref>
                  </c15:fullRef>
                </c:ext>
              </c:extLst>
              <c:f>Report!$B$110:$E$110</c:f>
              <c:strCache>
                <c:ptCount val="4"/>
                <c:pt idx="0">
                  <c:v>Passed</c:v>
                </c:pt>
                <c:pt idx="1">
                  <c:v>Failed</c:v>
                </c:pt>
                <c:pt idx="2">
                  <c:v>In Progress</c:v>
                </c:pt>
                <c:pt idx="3">
                  <c:v>Not Started</c:v>
                </c:pt>
              </c:strCache>
            </c:strRef>
          </c:cat>
          <c:val>
            <c:numRef>
              <c:extLst>
                <c:ext xmlns:c15="http://schemas.microsoft.com/office/drawing/2012/chart" uri="{02D57815-91ED-43cb-92C2-25804820EDAC}">
                  <c15:fullRef>
                    <c15:sqref>Report!$B$111:$F$111</c15:sqref>
                  </c15:fullRef>
                </c:ext>
              </c:extLst>
              <c:f>Report!$B$111:$E$111</c:f>
              <c:numCache>
                <c:formatCode>0</c:formatCode>
                <c:ptCount val="4"/>
                <c:pt idx="0">
                  <c:v>290</c:v>
                </c:pt>
                <c:pt idx="1">
                  <c:v>0</c:v>
                </c:pt>
                <c:pt idx="2">
                  <c:v>0</c:v>
                </c:pt>
                <c:pt idx="3">
                  <c:v>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F3BE-42A4-8969-7F7F789AA954}"/>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48536562023204155"/>
          <c:y val="0.17040123556098974"/>
          <c:w val="0.47193928389632434"/>
          <c:h val="0.61132633325110564"/>
        </c:manualLayout>
      </c:layout>
      <c:barChart>
        <c:barDir val="bar"/>
        <c:grouping val="percentStacked"/>
        <c:varyColors val="0"/>
        <c:ser>
          <c:idx val="0"/>
          <c:order val="0"/>
          <c:tx>
            <c:strRef>
              <c:f>Report!$B$95</c:f>
              <c:strCache>
                <c:ptCount val="1"/>
                <c:pt idx="0">
                  <c:v>Passed</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Report!$A$96:$A$109</c:f>
              <c:strCache>
                <c:ptCount val="11"/>
                <c:pt idx="0">
                  <c:v>[Collateral] - Management Hierarchy Client Group Iberia rename</c:v>
                </c:pt>
                <c:pt idx="1">
                  <c:v>Adding users in the new security group MMD Templates Clauses and Rules Stream Group</c:v>
                </c:pt>
                <c:pt idx="2">
                  <c:v>Supplier Preferred Name Values Translation to Japanese</c:v>
                </c:pt>
                <c:pt idx="3">
                  <c:v>Enhance GLN Triage Requirements Routing Rules</c:v>
                </c:pt>
                <c:pt idx="4">
                  <c:v>Technical Configuration – Review Functionality for Single Client Deal</c:v>
                </c:pt>
                <c:pt idx="5">
                  <c:v>[TPRM Initiative] Make Supplier AI PII Processing attribute visible in MMD UI</c:v>
                </c:pt>
                <c:pt idx="6">
                  <c:v>Display error Pop -up if SOW Effective Date exceeds End Date for SSW and SCC</c:v>
                </c:pt>
                <c:pt idx="7">
                  <c:v>[TPRM Initiative][Functional][Part 3] Update attribute labels and its values in MMD</c:v>
                </c:pt>
                <c:pt idx="8">
                  <c:v>[TPRM Initiative][Technical][Part 3] Update attribute labels and its values in MMD</c:v>
                </c:pt>
                <c:pt idx="9">
                  <c:v>[TPRM Initiative][Technical][Part 2]Update attribute mapping from Coupa to MMD system</c:v>
                </c:pt>
                <c:pt idx="10">
                  <c:v>Signed contracts should retain supplier preferred name translation</c:v>
                </c:pt>
              </c:strCache>
            </c:strRef>
          </c:cat>
          <c:val>
            <c:numRef>
              <c:f>Report!$B$96:$B$109</c:f>
              <c:numCache>
                <c:formatCode>General</c:formatCode>
                <c:ptCount val="11"/>
                <c:pt idx="0">
                  <c:v>8</c:v>
                </c:pt>
                <c:pt idx="1">
                  <c:v>2</c:v>
                </c:pt>
                <c:pt idx="2">
                  <c:v>129</c:v>
                </c:pt>
                <c:pt idx="3">
                  <c:v>5</c:v>
                </c:pt>
                <c:pt idx="4">
                  <c:v>46</c:v>
                </c:pt>
                <c:pt idx="5">
                  <c:v>6</c:v>
                </c:pt>
                <c:pt idx="6">
                  <c:v>4</c:v>
                </c:pt>
                <c:pt idx="7">
                  <c:v>6</c:v>
                </c:pt>
                <c:pt idx="8">
                  <c:v>4</c:v>
                </c:pt>
                <c:pt idx="9">
                  <c:v>4</c:v>
                </c:pt>
                <c:pt idx="10">
                  <c:v>76</c:v>
                </c:pt>
              </c:numCache>
            </c:numRef>
          </c:val>
          <c:extLst xmlns:c15="http://schemas.microsoft.com/office/drawing/2012/chart">
            <c:ext xmlns:c16="http://schemas.microsoft.com/office/drawing/2014/chart" uri="{C3380CC4-5D6E-409C-BE32-E72D297353CC}">
              <c16:uniqueId val="{00000000-15F4-43C3-AEC8-5653C5CB8C13}"/>
            </c:ext>
          </c:extLst>
        </c:ser>
        <c:ser>
          <c:idx val="1"/>
          <c:order val="1"/>
          <c:tx>
            <c:strRef>
              <c:f>Report!$C$95</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Report!$A$96:$A$109</c:f>
              <c:strCache>
                <c:ptCount val="11"/>
                <c:pt idx="0">
                  <c:v>[Collateral] - Management Hierarchy Client Group Iberia rename</c:v>
                </c:pt>
                <c:pt idx="1">
                  <c:v>Adding users in the new security group MMD Templates Clauses and Rules Stream Group</c:v>
                </c:pt>
                <c:pt idx="2">
                  <c:v>Supplier Preferred Name Values Translation to Japanese</c:v>
                </c:pt>
                <c:pt idx="3">
                  <c:v>Enhance GLN Triage Requirements Routing Rules</c:v>
                </c:pt>
                <c:pt idx="4">
                  <c:v>Technical Configuration – Review Functionality for Single Client Deal</c:v>
                </c:pt>
                <c:pt idx="5">
                  <c:v>[TPRM Initiative] Make Supplier AI PII Processing attribute visible in MMD UI</c:v>
                </c:pt>
                <c:pt idx="6">
                  <c:v>Display error Pop -up if SOW Effective Date exceeds End Date for SSW and SCC</c:v>
                </c:pt>
                <c:pt idx="7">
                  <c:v>[TPRM Initiative][Functional][Part 3] Update attribute labels and its values in MMD</c:v>
                </c:pt>
                <c:pt idx="8">
                  <c:v>[TPRM Initiative][Technical][Part 3] Update attribute labels and its values in MMD</c:v>
                </c:pt>
                <c:pt idx="9">
                  <c:v>[TPRM Initiative][Technical][Part 2]Update attribute mapping from Coupa to MMD system</c:v>
                </c:pt>
                <c:pt idx="10">
                  <c:v>Signed contracts should retain supplier preferred name translation</c:v>
                </c:pt>
              </c:strCache>
            </c:strRef>
          </c:cat>
          <c:val>
            <c:numRef>
              <c:f>Report!$C$96:$C$109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15F4-43C3-AEC8-5653C5CB8C13}"/>
            </c:ext>
          </c:extLst>
        </c:ser>
        <c:ser>
          <c:idx val="2"/>
          <c:order val="2"/>
          <c:tx>
            <c:strRef>
              <c:f>Report!$D$95</c:f>
              <c:strCache>
                <c:ptCount val="1"/>
                <c:pt idx="0">
                  <c:v>In Progress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Report!$A$96:$A$109</c:f>
              <c:strCache>
                <c:ptCount val="11"/>
                <c:pt idx="0">
                  <c:v>[Collateral] - Management Hierarchy Client Group Iberia rename</c:v>
                </c:pt>
                <c:pt idx="1">
                  <c:v>Adding users in the new security group MMD Templates Clauses and Rules Stream Group</c:v>
                </c:pt>
                <c:pt idx="2">
                  <c:v>Supplier Preferred Name Values Translation to Japanese</c:v>
                </c:pt>
                <c:pt idx="3">
                  <c:v>Enhance GLN Triage Requirements Routing Rules</c:v>
                </c:pt>
                <c:pt idx="4">
                  <c:v>Technical Configuration – Review Functionality for Single Client Deal</c:v>
                </c:pt>
                <c:pt idx="5">
                  <c:v>[TPRM Initiative] Make Supplier AI PII Processing attribute visible in MMD UI</c:v>
                </c:pt>
                <c:pt idx="6">
                  <c:v>Display error Pop -up if SOW Effective Date exceeds End Date for SSW and SCC</c:v>
                </c:pt>
                <c:pt idx="7">
                  <c:v>[TPRM Initiative][Functional][Part 3] Update attribute labels and its values in MMD</c:v>
                </c:pt>
                <c:pt idx="8">
                  <c:v>[TPRM Initiative][Technical][Part 3] Update attribute labels and its values in MMD</c:v>
                </c:pt>
                <c:pt idx="9">
                  <c:v>[TPRM Initiative][Technical][Part 2]Update attribute mapping from Coupa to MMD system</c:v>
                </c:pt>
                <c:pt idx="10">
                  <c:v>Signed contracts should retain supplier preferred name translation</c:v>
                </c:pt>
              </c:strCache>
            </c:strRef>
          </c:cat>
          <c:val>
            <c:numRef>
              <c:f>Report!$D$96:$D$109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2-15F4-43C3-AEC8-5653C5CB8C13}"/>
            </c:ext>
          </c:extLst>
        </c:ser>
        <c:ser>
          <c:idx val="3"/>
          <c:order val="3"/>
          <c:tx>
            <c:strRef>
              <c:f>Report!$E$95</c:f>
              <c:strCache>
                <c:ptCount val="1"/>
                <c:pt idx="0">
                  <c:v>Not Started</c:v>
                </c:pt>
              </c:strCache>
            </c:strRef>
          </c:tx>
          <c:spPr>
            <a:solidFill>
              <a:schemeClr val="bg2">
                <a:lumMod val="50000"/>
              </a:schemeClr>
            </a:solidFill>
            <a:ln>
              <a:noFill/>
            </a:ln>
            <a:effectLst>
              <a:outerShdw blurRad="57150" dist="19050" dir="5400000" algn="ctr" rotWithShape="0">
                <a:srgbClr val="000000">
                  <a:alpha val="63000"/>
                </a:srgbClr>
              </a:outerShdw>
            </a:effectLst>
          </c:spPr>
          <c:invertIfNegative val="0"/>
          <c:cat>
            <c:strRef>
              <c:f>Report!$A$96:$A$109</c:f>
              <c:strCache>
                <c:ptCount val="11"/>
                <c:pt idx="0">
                  <c:v>[Collateral] - Management Hierarchy Client Group Iberia rename</c:v>
                </c:pt>
                <c:pt idx="1">
                  <c:v>Adding users in the new security group MMD Templates Clauses and Rules Stream Group</c:v>
                </c:pt>
                <c:pt idx="2">
                  <c:v>Supplier Preferred Name Values Translation to Japanese</c:v>
                </c:pt>
                <c:pt idx="3">
                  <c:v>Enhance GLN Triage Requirements Routing Rules</c:v>
                </c:pt>
                <c:pt idx="4">
                  <c:v>Technical Configuration – Review Functionality for Single Client Deal</c:v>
                </c:pt>
                <c:pt idx="5">
                  <c:v>[TPRM Initiative] Make Supplier AI PII Processing attribute visible in MMD UI</c:v>
                </c:pt>
                <c:pt idx="6">
                  <c:v>Display error Pop -up if SOW Effective Date exceeds End Date for SSW and SCC</c:v>
                </c:pt>
                <c:pt idx="7">
                  <c:v>[TPRM Initiative][Functional][Part 3] Update attribute labels and its values in MMD</c:v>
                </c:pt>
                <c:pt idx="8">
                  <c:v>[TPRM Initiative][Technical][Part 3] Update attribute labels and its values in MMD</c:v>
                </c:pt>
                <c:pt idx="9">
                  <c:v>[TPRM Initiative][Technical][Part 2]Update attribute mapping from Coupa to MMD system</c:v>
                </c:pt>
                <c:pt idx="10">
                  <c:v>Signed contracts should retain supplier preferred name translation</c:v>
                </c:pt>
              </c:strCache>
            </c:strRef>
          </c:cat>
          <c:val>
            <c:numRef>
              <c:f>Report!$E$96:$E$109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3-15F4-43C3-AEC8-5653C5CB8C13}"/>
            </c:ext>
          </c:extLst>
        </c:ser>
        <c:ser>
          <c:idx val="4"/>
          <c:order val="4"/>
          <c:tx>
            <c:strRef>
              <c:f>Report!$F$95</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Report!$A$96:$A$109</c:f>
              <c:strCache>
                <c:ptCount val="11"/>
                <c:pt idx="0">
                  <c:v>[Collateral] - Management Hierarchy Client Group Iberia rename</c:v>
                </c:pt>
                <c:pt idx="1">
                  <c:v>Adding users in the new security group MMD Templates Clauses and Rules Stream Group</c:v>
                </c:pt>
                <c:pt idx="2">
                  <c:v>Supplier Preferred Name Values Translation to Japanese</c:v>
                </c:pt>
                <c:pt idx="3">
                  <c:v>Enhance GLN Triage Requirements Routing Rules</c:v>
                </c:pt>
                <c:pt idx="4">
                  <c:v>Technical Configuration – Review Functionality for Single Client Deal</c:v>
                </c:pt>
                <c:pt idx="5">
                  <c:v>[TPRM Initiative] Make Supplier AI PII Processing attribute visible in MMD UI</c:v>
                </c:pt>
                <c:pt idx="6">
                  <c:v>Display error Pop -up if SOW Effective Date exceeds End Date for SSW and SCC</c:v>
                </c:pt>
                <c:pt idx="7">
                  <c:v>[TPRM Initiative][Functional][Part 3] Update attribute labels and its values in MMD</c:v>
                </c:pt>
                <c:pt idx="8">
                  <c:v>[TPRM Initiative][Technical][Part 3] Update attribute labels and its values in MMD</c:v>
                </c:pt>
                <c:pt idx="9">
                  <c:v>[TPRM Initiative][Technical][Part 2]Update attribute mapping from Coupa to MMD system</c:v>
                </c:pt>
                <c:pt idx="10">
                  <c:v>Signed contracts should retain supplier preferred name translation</c:v>
                </c:pt>
              </c:strCache>
            </c:strRef>
          </c:cat>
          <c:val>
            <c:numRef>
              <c:f>Report!$F$96:$F$109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xmlns:c15="http://schemas.microsoft.com/office/drawing/2012/chart">
            <c:ext xmlns:c16="http://schemas.microsoft.com/office/drawing/2014/chart" uri="{C3380CC4-5D6E-409C-BE32-E72D297353CC}">
              <c16:uniqueId val="{00000004-15F4-43C3-AEC8-5653C5CB8C13}"/>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chemeClr val="accent6"/>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61-4F7B-BAA5-0360FF01B5A8}"/>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61-4F7B-BAA5-0360FF01B5A8}"/>
              </c:ext>
            </c:extLst>
          </c:dPt>
          <c:dPt>
            <c:idx val="2"/>
            <c:bubble3D val="0"/>
            <c:spPr>
              <a:solidFill>
                <a:schemeClr val="accent4"/>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61-4F7B-BAA5-0360FF01B5A8}"/>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61-4F7B-BAA5-0360FF01B5A8}"/>
              </c:ext>
            </c:extLst>
          </c:dPt>
          <c:dPt>
            <c:idx val="4"/>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61-4F7B-BAA5-0360FF01B5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extLst>
          </c:dLbls>
          <c:cat>
            <c:strRef>
              <c:f>Report!$B$205:$F$205</c:f>
              <c:strCache>
                <c:ptCount val="5"/>
                <c:pt idx="0">
                  <c:v>Passed</c:v>
                </c:pt>
                <c:pt idx="1">
                  <c:v>Failed</c:v>
                </c:pt>
                <c:pt idx="2">
                  <c:v>In Progress</c:v>
                </c:pt>
                <c:pt idx="3">
                  <c:v>Not Started</c:v>
                </c:pt>
                <c:pt idx="4">
                  <c:v>Not Applicable</c:v>
                </c:pt>
              </c:strCache>
            </c:strRef>
          </c:cat>
          <c:val>
            <c:numRef>
              <c:f>Report!$B$206:$F$206</c:f>
              <c:numCache>
                <c:formatCode>0</c:formatCode>
                <c:ptCount val="5"/>
                <c:pt idx="0">
                  <c:v>0</c:v>
                </c:pt>
                <c:pt idx="1">
                  <c:v>0</c:v>
                </c:pt>
                <c:pt idx="2">
                  <c:v>0</c:v>
                </c:pt>
                <c:pt idx="3">
                  <c:v>197</c:v>
                </c:pt>
                <c:pt idx="4">
                  <c:v>0</c:v>
                </c:pt>
              </c:numCache>
            </c:numRef>
          </c:val>
          <c:extLst>
            <c:ext xmlns:c16="http://schemas.microsoft.com/office/drawing/2014/chart" uri="{C3380CC4-5D6E-409C-BE32-E72D297353CC}">
              <c16:uniqueId val="{00000008-0267-4E1F-87AE-1DD3A26013A2}"/>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Report!$B$196</c:f>
              <c:strCache>
                <c:ptCount val="1"/>
                <c:pt idx="0">
                  <c:v>Passed</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Report!$A$197:$A$204</c:f>
              <c:strCache>
                <c:ptCount val="8"/>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pt idx="7">
                  <c:v>Scenario 8: Direct SMA Creation</c:v>
                </c:pt>
              </c:strCache>
            </c:strRef>
          </c:cat>
          <c:val>
            <c:numRef>
              <c:f>Report!$B$197:$B$204</c:f>
              <c:numCache>
                <c:formatCode>General</c:formatCode>
                <c:ptCount val="8"/>
              </c:numCache>
            </c:numRef>
          </c:val>
          <c:extLst xmlns:c15="http://schemas.microsoft.com/office/drawing/2012/chart">
            <c:ext xmlns:c16="http://schemas.microsoft.com/office/drawing/2014/chart" uri="{C3380CC4-5D6E-409C-BE32-E72D297353CC}">
              <c16:uniqueId val="{00000000-4DF7-43F1-9CBB-63336F9B62EA}"/>
            </c:ext>
          </c:extLst>
        </c:ser>
        <c:ser>
          <c:idx val="1"/>
          <c:order val="1"/>
          <c:tx>
            <c:strRef>
              <c:f>Report!$C$196</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Report!$A$197:$A$204</c:f>
              <c:strCache>
                <c:ptCount val="8"/>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pt idx="7">
                  <c:v>Scenario 8: Direct SMA Creation</c:v>
                </c:pt>
              </c:strCache>
            </c:strRef>
          </c:cat>
          <c:val>
            <c:numRef>
              <c:f>Report!$C$197:$C$204</c:f>
              <c:numCache>
                <c:formatCode>General</c:formatCode>
                <c:ptCount val="8"/>
              </c:numCache>
            </c:numRef>
          </c:val>
          <c:extLst>
            <c:ext xmlns:c16="http://schemas.microsoft.com/office/drawing/2014/chart" uri="{C3380CC4-5D6E-409C-BE32-E72D297353CC}">
              <c16:uniqueId val="{00000001-4DF7-43F1-9CBB-63336F9B62EA}"/>
            </c:ext>
          </c:extLst>
        </c:ser>
        <c:ser>
          <c:idx val="2"/>
          <c:order val="2"/>
          <c:tx>
            <c:strRef>
              <c:f>Report!$D$196</c:f>
              <c:strCache>
                <c:ptCount val="1"/>
                <c:pt idx="0">
                  <c:v>In Progress</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Report!$A$197:$A$204</c:f>
              <c:strCache>
                <c:ptCount val="8"/>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pt idx="7">
                  <c:v>Scenario 8: Direct SMA Creation</c:v>
                </c:pt>
              </c:strCache>
            </c:strRef>
          </c:cat>
          <c:val>
            <c:numRef>
              <c:f>Report!$D$197:$D$204</c:f>
              <c:numCache>
                <c:formatCode>General</c:formatCode>
                <c:ptCount val="8"/>
              </c:numCache>
            </c:numRef>
          </c:val>
          <c:extLst>
            <c:ext xmlns:c16="http://schemas.microsoft.com/office/drawing/2014/chart" uri="{C3380CC4-5D6E-409C-BE32-E72D297353CC}">
              <c16:uniqueId val="{00000002-4DF7-43F1-9CBB-63336F9B62EA}"/>
            </c:ext>
          </c:extLst>
        </c:ser>
        <c:ser>
          <c:idx val="3"/>
          <c:order val="3"/>
          <c:tx>
            <c:strRef>
              <c:f>Report!$E$196</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Report!$A$197:$A$204</c:f>
              <c:strCache>
                <c:ptCount val="8"/>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pt idx="7">
                  <c:v>Scenario 8: Direct SMA Creation</c:v>
                </c:pt>
              </c:strCache>
            </c:strRef>
          </c:cat>
          <c:val>
            <c:numRef>
              <c:f>Report!$E$197:$E$204</c:f>
              <c:numCache>
                <c:formatCode>General</c:formatCode>
                <c:ptCount val="8"/>
                <c:pt idx="0">
                  <c:v>27</c:v>
                </c:pt>
                <c:pt idx="1">
                  <c:v>38</c:v>
                </c:pt>
                <c:pt idx="2">
                  <c:v>50</c:v>
                </c:pt>
                <c:pt idx="3">
                  <c:v>6</c:v>
                </c:pt>
                <c:pt idx="4">
                  <c:v>26</c:v>
                </c:pt>
                <c:pt idx="5">
                  <c:v>28</c:v>
                </c:pt>
                <c:pt idx="6">
                  <c:v>13</c:v>
                </c:pt>
                <c:pt idx="7">
                  <c:v>9</c:v>
                </c:pt>
              </c:numCache>
            </c:numRef>
          </c:val>
          <c:extLst>
            <c:ext xmlns:c16="http://schemas.microsoft.com/office/drawing/2014/chart" uri="{C3380CC4-5D6E-409C-BE32-E72D297353CC}">
              <c16:uniqueId val="{00000003-4DF7-43F1-9CBB-63336F9B62EA}"/>
            </c:ext>
          </c:extLst>
        </c:ser>
        <c:ser>
          <c:idx val="4"/>
          <c:order val="4"/>
          <c:tx>
            <c:strRef>
              <c:f>Report!$F$196</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Report!$A$197:$A$204</c:f>
              <c:strCache>
                <c:ptCount val="8"/>
                <c:pt idx="0">
                  <c:v>Scenario 1 - SREQ to SMA_USA</c:v>
                </c:pt>
                <c:pt idx="1">
                  <c:v>Scenario 2- SREQ to SCC_France</c:v>
                </c:pt>
                <c:pt idx="2">
                  <c:v>Scenario 3: SREQ to SSW_Portugal</c:v>
                </c:pt>
                <c:pt idx="3">
                  <c:v>Scenario 4: SSSR to FIND_Strategic Partner_ Germany</c:v>
                </c:pt>
                <c:pt idx="4">
                  <c:v>Scenario 5: BSR to SMA_PH</c:v>
                </c:pt>
                <c:pt idx="5">
                  <c:v>Scenario 6: SYNOPS to SCC_Spain</c:v>
                </c:pt>
                <c:pt idx="6">
                  <c:v>Scenario 7: MMD Templates, Clauses &amp; Rules – Read-Only Security Group Validation (Admin Access Only) (Mock &amp; Smoke)</c:v>
                </c:pt>
                <c:pt idx="7">
                  <c:v>Scenario 8: Direct SMA Creation</c:v>
                </c:pt>
              </c:strCache>
            </c:strRef>
          </c:cat>
          <c:val>
            <c:numRef>
              <c:f>Report!$F$197:$F$204</c:f>
              <c:numCache>
                <c:formatCode>General</c:formatCode>
                <c:ptCount val="8"/>
              </c:numCache>
            </c:numRef>
          </c:val>
          <c:extLst>
            <c:ext xmlns:c16="http://schemas.microsoft.com/office/drawing/2014/chart" uri="{C3380CC4-5D6E-409C-BE32-E72D297353CC}">
              <c16:uniqueId val="{00000004-4DF7-43F1-9CBB-63336F9B62EA}"/>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1"/>
          <c:dPt>
            <c:idx val="0"/>
            <c:bubble3D val="0"/>
            <c:spPr>
              <a:solidFill>
                <a:schemeClr val="accent6"/>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267-4E1F-87AE-1DD3A26013A2}"/>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267-4E1F-87AE-1DD3A26013A2}"/>
              </c:ext>
            </c:extLst>
          </c:dPt>
          <c:dPt>
            <c:idx val="2"/>
            <c:bubble3D val="0"/>
            <c:spPr>
              <a:solidFill>
                <a:schemeClr val="accent4"/>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267-4E1F-87AE-1DD3A26013A2}"/>
              </c:ext>
            </c:extLst>
          </c:dPt>
          <c:dPt>
            <c:idx val="3"/>
            <c:bubble3D val="0"/>
            <c:spPr>
              <a:solidFill>
                <a:schemeClr val="accent3">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267-4E1F-87AE-1DD3A26013A2}"/>
              </c:ext>
            </c:extLst>
          </c:dPt>
          <c:dPt>
            <c:idx val="4"/>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267-4E1F-87AE-1DD3A26013A2}"/>
              </c:ext>
            </c:extLst>
          </c:dPt>
          <c:dLbls>
            <c:dLbl>
              <c:idx val="0"/>
              <c:layout>
                <c:manualLayout>
                  <c:x val="-3.7266235927206043E-2"/>
                  <c:y val="-3.552776494830726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267-4E1F-87AE-1DD3A26013A2}"/>
                </c:ext>
              </c:extLst>
            </c:dLbl>
            <c:dLbl>
              <c:idx val="1"/>
              <c:layout>
                <c:manualLayout>
                  <c:x val="3.9458367452335733E-2"/>
                  <c:y val="-1.628337082775144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267-4E1F-87AE-1DD3A26013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Regression!$B$9:$F$9</c:f>
              <c:strCache>
                <c:ptCount val="5"/>
                <c:pt idx="0">
                  <c:v>Passed</c:v>
                </c:pt>
                <c:pt idx="1">
                  <c:v>Failed</c:v>
                </c:pt>
                <c:pt idx="2">
                  <c:v>In Progress</c:v>
                </c:pt>
                <c:pt idx="3">
                  <c:v>Not Started</c:v>
                </c:pt>
                <c:pt idx="4">
                  <c:v>Not Applicable</c:v>
                </c:pt>
              </c:strCache>
            </c:strRef>
          </c:cat>
          <c:val>
            <c:numRef>
              <c:f>Regression!$B$10:$F$10</c:f>
              <c:numCache>
                <c:formatCode>0</c:formatCode>
                <c:ptCount val="5"/>
                <c:pt idx="0">
                  <c:v>6</c:v>
                </c:pt>
                <c:pt idx="1">
                  <c:v>0</c:v>
                </c:pt>
                <c:pt idx="2">
                  <c:v>15</c:v>
                </c:pt>
                <c:pt idx="3">
                  <c:v>13</c:v>
                </c:pt>
                <c:pt idx="4">
                  <c:v>3</c:v>
                </c:pt>
              </c:numCache>
            </c:numRef>
          </c:val>
          <c:extLst>
            <c:ext xmlns:c16="http://schemas.microsoft.com/office/drawing/2014/chart" uri="{C3380CC4-5D6E-409C-BE32-E72D297353CC}">
              <c16:uniqueId val="{00000008-0267-4E1F-87AE-1DD3A26013A2}"/>
            </c:ext>
          </c:extLst>
        </c:ser>
        <c:dLbls>
          <c:dLblPos val="ctr"/>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Regression!$B$1</c:f>
              <c:strCache>
                <c:ptCount val="1"/>
                <c:pt idx="0">
                  <c:v>Passed</c:v>
                </c:pt>
              </c:strCache>
            </c:strRef>
          </c:tx>
          <c:spPr>
            <a:solidFill>
              <a:schemeClr val="accent6"/>
            </a:solidFill>
            <a:ln>
              <a:noFill/>
            </a:ln>
            <a:effectLst>
              <a:outerShdw blurRad="57150" dist="19050" dir="5400000" algn="ctr" rotWithShape="0">
                <a:srgbClr val="000000">
                  <a:alpha val="63000"/>
                </a:srgbClr>
              </a:outerShdw>
            </a:effectLst>
          </c:spPr>
          <c:invertIfNegative val="0"/>
          <c:cat>
            <c:strRef>
              <c:f>Regression!$A$2:$A$8</c:f>
              <c:strCache>
                <c:ptCount val="7"/>
                <c:pt idx="0">
                  <c:v>Default rules and Logic</c:v>
                </c:pt>
                <c:pt idx="1">
                  <c:v>Reviewer/Approver Functionality</c:v>
                </c:pt>
                <c:pt idx="2">
                  <c:v>Restriction of Contracts/restricted country</c:v>
                </c:pt>
                <c:pt idx="3">
                  <c:v>Integrations supplier</c:v>
                </c:pt>
                <c:pt idx="4">
                  <c:v>Auto Provissioning</c:v>
                </c:pt>
                <c:pt idx="5">
                  <c:v>Email Notification</c:v>
                </c:pt>
                <c:pt idx="6">
                  <c:v>Peer to Peer</c:v>
                </c:pt>
              </c:strCache>
            </c:strRef>
          </c:cat>
          <c:val>
            <c:numRef>
              <c:f>Regression!$B$2:$B$8</c:f>
              <c:numCache>
                <c:formatCode>General</c:formatCode>
                <c:ptCount val="7"/>
                <c:pt idx="0">
                  <c:v>1</c:v>
                </c:pt>
                <c:pt idx="1">
                  <c:v>0</c:v>
                </c:pt>
                <c:pt idx="2">
                  <c:v>2</c:v>
                </c:pt>
                <c:pt idx="3">
                  <c:v>2</c:v>
                </c:pt>
                <c:pt idx="4">
                  <c:v>0</c:v>
                </c:pt>
                <c:pt idx="5">
                  <c:v>0</c:v>
                </c:pt>
                <c:pt idx="6">
                  <c:v>1</c:v>
                </c:pt>
              </c:numCache>
            </c:numRef>
          </c:val>
          <c:extLst xmlns:c15="http://schemas.microsoft.com/office/drawing/2012/chart">
            <c:ext xmlns:c16="http://schemas.microsoft.com/office/drawing/2014/chart" uri="{C3380CC4-5D6E-409C-BE32-E72D297353CC}">
              <c16:uniqueId val="{00000000-B9EF-484E-8CDA-89FC3B0D6902}"/>
            </c:ext>
          </c:extLst>
        </c:ser>
        <c:ser>
          <c:idx val="1"/>
          <c:order val="1"/>
          <c:tx>
            <c:strRef>
              <c:f>Regression!$C$1</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Regression!$A$2:$A$8</c:f>
              <c:strCache>
                <c:ptCount val="7"/>
                <c:pt idx="0">
                  <c:v>Default rules and Logic</c:v>
                </c:pt>
                <c:pt idx="1">
                  <c:v>Reviewer/Approver Functionality</c:v>
                </c:pt>
                <c:pt idx="2">
                  <c:v>Restriction of Contracts/restricted country</c:v>
                </c:pt>
                <c:pt idx="3">
                  <c:v>Integrations supplier</c:v>
                </c:pt>
                <c:pt idx="4">
                  <c:v>Auto Provissioning</c:v>
                </c:pt>
                <c:pt idx="5">
                  <c:v>Email Notification</c:v>
                </c:pt>
                <c:pt idx="6">
                  <c:v>Peer to Peer</c:v>
                </c:pt>
              </c:strCache>
            </c:strRef>
          </c:cat>
          <c:val>
            <c:numRef>
              <c:f>Regression!$C$2:$C$8</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B9EF-484E-8CDA-89FC3B0D6902}"/>
            </c:ext>
          </c:extLst>
        </c:ser>
        <c:ser>
          <c:idx val="2"/>
          <c:order val="2"/>
          <c:tx>
            <c:strRef>
              <c:f>Regression!$D$1</c:f>
              <c:strCache>
                <c:ptCount val="1"/>
                <c:pt idx="0">
                  <c:v>In Progress</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Regression!$A$2:$A$8</c:f>
              <c:strCache>
                <c:ptCount val="7"/>
                <c:pt idx="0">
                  <c:v>Default rules and Logic</c:v>
                </c:pt>
                <c:pt idx="1">
                  <c:v>Reviewer/Approver Functionality</c:v>
                </c:pt>
                <c:pt idx="2">
                  <c:v>Restriction of Contracts/restricted country</c:v>
                </c:pt>
                <c:pt idx="3">
                  <c:v>Integrations supplier</c:v>
                </c:pt>
                <c:pt idx="4">
                  <c:v>Auto Provissioning</c:v>
                </c:pt>
                <c:pt idx="5">
                  <c:v>Email Notification</c:v>
                </c:pt>
                <c:pt idx="6">
                  <c:v>Peer to Peer</c:v>
                </c:pt>
              </c:strCache>
            </c:strRef>
          </c:cat>
          <c:val>
            <c:numRef>
              <c:f>Regression!$D$2:$D$8</c:f>
              <c:numCache>
                <c:formatCode>General</c:formatCode>
                <c:ptCount val="7"/>
                <c:pt idx="0">
                  <c:v>9</c:v>
                </c:pt>
                <c:pt idx="1">
                  <c:v>3</c:v>
                </c:pt>
                <c:pt idx="2">
                  <c:v>1</c:v>
                </c:pt>
                <c:pt idx="3">
                  <c:v>0</c:v>
                </c:pt>
                <c:pt idx="4">
                  <c:v>0</c:v>
                </c:pt>
                <c:pt idx="5">
                  <c:v>0</c:v>
                </c:pt>
                <c:pt idx="6">
                  <c:v>2</c:v>
                </c:pt>
              </c:numCache>
            </c:numRef>
          </c:val>
          <c:extLst>
            <c:ext xmlns:c16="http://schemas.microsoft.com/office/drawing/2014/chart" uri="{C3380CC4-5D6E-409C-BE32-E72D297353CC}">
              <c16:uniqueId val="{00000002-B9EF-484E-8CDA-89FC3B0D6902}"/>
            </c:ext>
          </c:extLst>
        </c:ser>
        <c:ser>
          <c:idx val="3"/>
          <c:order val="3"/>
          <c:tx>
            <c:strRef>
              <c:f>Regression!$E$1</c:f>
              <c:strCache>
                <c:ptCount val="1"/>
                <c:pt idx="0">
                  <c:v>Not Started</c:v>
                </c:pt>
              </c:strCache>
            </c:strRef>
          </c:tx>
          <c:spPr>
            <a:solidFill>
              <a:schemeClr val="accent3">
                <a:lumMod val="75000"/>
              </a:schemeClr>
            </a:solidFill>
            <a:ln>
              <a:noFill/>
            </a:ln>
            <a:effectLst>
              <a:outerShdw blurRad="57150" dist="19050" dir="5400000" algn="ctr" rotWithShape="0">
                <a:srgbClr val="000000">
                  <a:alpha val="63000"/>
                </a:srgbClr>
              </a:outerShdw>
            </a:effectLst>
          </c:spPr>
          <c:invertIfNegative val="0"/>
          <c:cat>
            <c:strRef>
              <c:f>Regression!$A$2:$A$8</c:f>
              <c:strCache>
                <c:ptCount val="7"/>
                <c:pt idx="0">
                  <c:v>Default rules and Logic</c:v>
                </c:pt>
                <c:pt idx="1">
                  <c:v>Reviewer/Approver Functionality</c:v>
                </c:pt>
                <c:pt idx="2">
                  <c:v>Restriction of Contracts/restricted country</c:v>
                </c:pt>
                <c:pt idx="3">
                  <c:v>Integrations supplier</c:v>
                </c:pt>
                <c:pt idx="4">
                  <c:v>Auto Provissioning</c:v>
                </c:pt>
                <c:pt idx="5">
                  <c:v>Email Notification</c:v>
                </c:pt>
                <c:pt idx="6">
                  <c:v>Peer to Peer</c:v>
                </c:pt>
              </c:strCache>
            </c:strRef>
          </c:cat>
          <c:val>
            <c:numRef>
              <c:f>Regression!$E$2:$E$8</c:f>
              <c:numCache>
                <c:formatCode>General</c:formatCode>
                <c:ptCount val="7"/>
                <c:pt idx="0">
                  <c:v>6</c:v>
                </c:pt>
                <c:pt idx="1">
                  <c:v>0</c:v>
                </c:pt>
                <c:pt idx="2">
                  <c:v>0</c:v>
                </c:pt>
                <c:pt idx="3">
                  <c:v>1</c:v>
                </c:pt>
                <c:pt idx="4">
                  <c:v>1</c:v>
                </c:pt>
                <c:pt idx="5">
                  <c:v>2</c:v>
                </c:pt>
                <c:pt idx="6">
                  <c:v>3</c:v>
                </c:pt>
              </c:numCache>
            </c:numRef>
          </c:val>
          <c:extLst>
            <c:ext xmlns:c16="http://schemas.microsoft.com/office/drawing/2014/chart" uri="{C3380CC4-5D6E-409C-BE32-E72D297353CC}">
              <c16:uniqueId val="{00000003-B9EF-484E-8CDA-89FC3B0D6902}"/>
            </c:ext>
          </c:extLst>
        </c:ser>
        <c:ser>
          <c:idx val="4"/>
          <c:order val="4"/>
          <c:tx>
            <c:strRef>
              <c:f>Regression!$F$1</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Regression!$A$2:$A$8</c:f>
              <c:strCache>
                <c:ptCount val="7"/>
                <c:pt idx="0">
                  <c:v>Default rules and Logic</c:v>
                </c:pt>
                <c:pt idx="1">
                  <c:v>Reviewer/Approver Functionality</c:v>
                </c:pt>
                <c:pt idx="2">
                  <c:v>Restriction of Contracts/restricted country</c:v>
                </c:pt>
                <c:pt idx="3">
                  <c:v>Integrations supplier</c:v>
                </c:pt>
                <c:pt idx="4">
                  <c:v>Auto Provissioning</c:v>
                </c:pt>
                <c:pt idx="5">
                  <c:v>Email Notification</c:v>
                </c:pt>
                <c:pt idx="6">
                  <c:v>Peer to Peer</c:v>
                </c:pt>
              </c:strCache>
            </c:strRef>
          </c:cat>
          <c:val>
            <c:numRef>
              <c:f>Regression!$F$2:$F$8</c:f>
              <c:numCache>
                <c:formatCode>General</c:formatCode>
                <c:ptCount val="7"/>
                <c:pt idx="0">
                  <c:v>0</c:v>
                </c:pt>
                <c:pt idx="1">
                  <c:v>0</c:v>
                </c:pt>
                <c:pt idx="2">
                  <c:v>0</c:v>
                </c:pt>
                <c:pt idx="3">
                  <c:v>2</c:v>
                </c:pt>
                <c:pt idx="4">
                  <c:v>1</c:v>
                </c:pt>
                <c:pt idx="5">
                  <c:v>0</c:v>
                </c:pt>
                <c:pt idx="6">
                  <c:v>0</c:v>
                </c:pt>
              </c:numCache>
            </c:numRef>
          </c:val>
          <c:extLst>
            <c:ext xmlns:c16="http://schemas.microsoft.com/office/drawing/2014/chart" uri="{C3380CC4-5D6E-409C-BE32-E72D297353CC}">
              <c16:uniqueId val="{00000004-B9EF-484E-8CDA-89FC3B0D6902}"/>
            </c:ext>
          </c:extLst>
        </c:ser>
        <c:dLbls>
          <c:showLegendKey val="0"/>
          <c:showVal val="0"/>
          <c:showCatName val="0"/>
          <c:showSerName val="0"/>
          <c:showPercent val="0"/>
          <c:showBubbleSize val="0"/>
        </c:dLbls>
        <c:gapWidth val="150"/>
        <c:overlap val="100"/>
        <c:axId val="809209760"/>
        <c:axId val="809214752"/>
        <c:extLst/>
      </c:barChart>
      <c:catAx>
        <c:axId val="809209760"/>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800" b="0" i="0" u="none" strike="noStrike" kern="1200" baseline="0">
                <a:solidFill>
                  <a:schemeClr val="lt1">
                    <a:lumMod val="85000"/>
                  </a:schemeClr>
                </a:solidFill>
                <a:latin typeface="+mn-lt"/>
                <a:ea typeface="+mn-ea"/>
                <a:cs typeface="+mn-cs"/>
              </a:defRPr>
            </a:pPr>
            <a:endParaRPr lang="en-US"/>
          </a:p>
        </c:txPr>
        <c:crossAx val="809214752"/>
        <c:crosses val="autoZero"/>
        <c:auto val="1"/>
        <c:lblAlgn val="ctr"/>
        <c:lblOffset val="100"/>
        <c:noMultiLvlLbl val="0"/>
      </c:catAx>
      <c:valAx>
        <c:axId val="809214752"/>
        <c:scaling>
          <c:orientation val="minMax"/>
          <c:min val="0"/>
        </c:scaling>
        <c:delete val="0"/>
        <c:axPos val="t"/>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920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tx>
            <c:strRef>
              <c:f>'UAT Report'!$O$85:$R$85</c:f>
              <c:strCache>
                <c:ptCount val="4"/>
                <c:pt idx="0">
                  <c:v>Passed</c:v>
                </c:pt>
                <c:pt idx="1">
                  <c:v>Failed</c:v>
                </c:pt>
                <c:pt idx="2">
                  <c:v>In Progress</c:v>
                </c:pt>
                <c:pt idx="3">
                  <c:v>Not Started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1B2-4A86-83E9-F1AA42644285}"/>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1B2-4A86-83E9-F1AA42644285}"/>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1B2-4A86-83E9-F1AA42644285}"/>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1B2-4A86-83E9-F1AA42644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'UAT Report'!$O$85:$R$85</c:f>
              <c:strCache>
                <c:ptCount val="4"/>
                <c:pt idx="0">
                  <c:v>Passed</c:v>
                </c:pt>
                <c:pt idx="1">
                  <c:v>Failed</c:v>
                </c:pt>
                <c:pt idx="2">
                  <c:v>In Progress</c:v>
                </c:pt>
                <c:pt idx="3">
                  <c:v>Not Started</c:v>
                </c:pt>
              </c:strCache>
            </c:strRef>
          </c:cat>
          <c:val>
            <c:numRef>
              <c:f>'UAT Report'!$O$86:$R$86</c:f>
              <c:numCache>
                <c:formatCode>General</c:formatCode>
                <c:ptCount val="4"/>
                <c:pt idx="0">
                  <c:v>40</c:v>
                </c:pt>
                <c:pt idx="1">
                  <c:v>0</c:v>
                </c:pt>
                <c:pt idx="2">
                  <c:v>0</c:v>
                </c:pt>
                <c:pt idx="3">
                  <c:v>0</c:v>
                </c:pt>
              </c:numCache>
            </c:numRef>
          </c:val>
          <c:extLst>
            <c:ext xmlns:c16="http://schemas.microsoft.com/office/drawing/2014/chart" uri="{C3380CC4-5D6E-409C-BE32-E72D297353CC}">
              <c16:uniqueId val="{00000008-41B2-4A86-83E9-F1AA42644285}"/>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Report'!$O$77</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Report'!$O$78:$O$83</c:f>
              <c:numCache>
                <c:formatCode>General</c:formatCode>
                <c:ptCount val="6"/>
                <c:pt idx="0">
                  <c:v>6</c:v>
                </c:pt>
                <c:pt idx="1">
                  <c:v>3</c:v>
                </c:pt>
                <c:pt idx="2">
                  <c:v>3</c:v>
                </c:pt>
                <c:pt idx="3">
                  <c:v>14</c:v>
                </c:pt>
                <c:pt idx="4">
                  <c:v>8</c:v>
                </c:pt>
                <c:pt idx="5">
                  <c:v>6</c:v>
                </c:pt>
              </c:numCache>
            </c:numRef>
          </c:val>
          <c:extLst>
            <c:ext xmlns:c16="http://schemas.microsoft.com/office/drawing/2014/chart" uri="{C3380CC4-5D6E-409C-BE32-E72D297353CC}">
              <c16:uniqueId val="{00000000-A279-4BFA-A55C-57961F617083}"/>
            </c:ext>
          </c:extLst>
        </c:ser>
        <c:ser>
          <c:idx val="1"/>
          <c:order val="1"/>
          <c:tx>
            <c:strRef>
              <c:f>'UAT Report'!$P$77</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Report'!$P$78:$P$83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A279-4BFA-A55C-57961F617083}"/>
            </c:ext>
          </c:extLst>
        </c:ser>
        <c:ser>
          <c:idx val="2"/>
          <c:order val="2"/>
          <c:tx>
            <c:strRef>
              <c:f>'UAT Report'!$Q$77</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Report'!$Q$78:$Q$83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A279-4BFA-A55C-57961F617083}"/>
            </c:ext>
          </c:extLst>
        </c:ser>
        <c:ser>
          <c:idx val="3"/>
          <c:order val="3"/>
          <c:tx>
            <c:strRef>
              <c:f>'UAT Report'!$R$77</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Report'!$R$78:$R$83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A279-4BFA-A55C-57961F617083}"/>
            </c:ext>
          </c:extLst>
        </c:ser>
        <c:dLbls>
          <c:showLegendKey val="0"/>
          <c:showVal val="0"/>
          <c:showCatName val="0"/>
          <c:showSerName val="0"/>
          <c:showPercent val="0"/>
          <c:showBubbleSize val="0"/>
        </c:dLbls>
        <c:gapWidth val="150"/>
        <c:overlap val="100"/>
        <c:axId val="968759279"/>
        <c:axId val="968775503"/>
        <c:extLst/>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62914478891995795"/>
          <c:h val="7.4812022201277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tx>
            <c:strRef>
              <c:f>'UAT Report'!$O$85:$S$85</c:f>
              <c:strCache>
                <c:ptCount val="5"/>
                <c:pt idx="0">
                  <c:v>Passed</c:v>
                </c:pt>
                <c:pt idx="1">
                  <c:v>Failed</c:v>
                </c:pt>
                <c:pt idx="2">
                  <c:v>In Progress</c:v>
                </c:pt>
                <c:pt idx="3">
                  <c:v>Not Started</c:v>
                </c:pt>
                <c:pt idx="4">
                  <c:v>Not Applicable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502-4F1A-AA32-83303B725C3E}"/>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502-4F1A-AA32-83303B725C3E}"/>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502-4F1A-AA32-83303B725C3E}"/>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502-4F1A-AA32-83303B725C3E}"/>
              </c:ext>
            </c:extLst>
          </c:dPt>
          <c:dPt>
            <c:idx val="4"/>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502-4F1A-AA32-83303B725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'UAT Report'!$O$85:$S$85</c:f>
              <c:strCache>
                <c:ptCount val="5"/>
                <c:pt idx="0">
                  <c:v>Passed</c:v>
                </c:pt>
                <c:pt idx="1">
                  <c:v>Failed</c:v>
                </c:pt>
                <c:pt idx="2">
                  <c:v>In Progress</c:v>
                </c:pt>
                <c:pt idx="3">
                  <c:v>Not Started</c:v>
                </c:pt>
                <c:pt idx="4">
                  <c:v>Not Applicable</c:v>
                </c:pt>
              </c:strCache>
            </c:strRef>
          </c:cat>
          <c:val>
            <c:numRef>
              <c:f>'UAT Report'!$O$86:$S$86</c:f>
              <c:numCache>
                <c:formatCode>General</c:formatCode>
                <c:ptCount val="5"/>
                <c:pt idx="0">
                  <c:v>40</c:v>
                </c:pt>
                <c:pt idx="1">
                  <c:v>0</c:v>
                </c:pt>
                <c:pt idx="2">
                  <c:v>0</c:v>
                </c:pt>
                <c:pt idx="3">
                  <c:v>0</c:v>
                </c:pt>
                <c:pt idx="4">
                  <c:v>5</c:v>
                </c:pt>
              </c:numCache>
            </c:numRef>
          </c:val>
          <c:extLst>
            <c:ext xmlns:c16="http://schemas.microsoft.com/office/drawing/2014/chart" uri="{C3380CC4-5D6E-409C-BE32-E72D297353CC}">
              <c16:uniqueId val="{0000000A-5502-4F1A-AA32-83303B725C3E}"/>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Report'!$O$77</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Report'!$O$78:$O$83</c:f>
              <c:numCache>
                <c:formatCode>General</c:formatCode>
                <c:ptCount val="6"/>
                <c:pt idx="0">
                  <c:v>6</c:v>
                </c:pt>
                <c:pt idx="1">
                  <c:v>3</c:v>
                </c:pt>
                <c:pt idx="2">
                  <c:v>3</c:v>
                </c:pt>
                <c:pt idx="3">
                  <c:v>14</c:v>
                </c:pt>
                <c:pt idx="4">
                  <c:v>8</c:v>
                </c:pt>
                <c:pt idx="5">
                  <c:v>6</c:v>
                </c:pt>
              </c:numCache>
            </c:numRef>
          </c:val>
          <c:extLst>
            <c:ext xmlns:c16="http://schemas.microsoft.com/office/drawing/2014/chart" uri="{C3380CC4-5D6E-409C-BE32-E72D297353CC}">
              <c16:uniqueId val="{00000000-E303-49E8-860E-478EAD408AA1}"/>
            </c:ext>
          </c:extLst>
        </c:ser>
        <c:ser>
          <c:idx val="1"/>
          <c:order val="1"/>
          <c:tx>
            <c:strRef>
              <c:f>'UAT Report'!$P$77</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Report'!$P$78:$P$83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303-49E8-860E-478EAD408AA1}"/>
            </c:ext>
          </c:extLst>
        </c:ser>
        <c:ser>
          <c:idx val="2"/>
          <c:order val="2"/>
          <c:tx>
            <c:strRef>
              <c:f>'UAT Report'!$Q$77</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Report'!$Q$78:$Q$83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E303-49E8-860E-478EAD408AA1}"/>
            </c:ext>
          </c:extLst>
        </c:ser>
        <c:ser>
          <c:idx val="3"/>
          <c:order val="3"/>
          <c:tx>
            <c:strRef>
              <c:f>'UAT Report'!$R$77</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Report'!$R$78:$R$83</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E303-49E8-860E-478EAD408AA1}"/>
            </c:ext>
          </c:extLst>
        </c:ser>
        <c:ser>
          <c:idx val="4"/>
          <c:order val="4"/>
          <c:tx>
            <c:strRef>
              <c:f>'UAT Report'!$S$77</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'UAT Report'!$N$78:$N$83</c:f>
              <c:strCache>
                <c:ptCount val="6"/>
                <c:pt idx="0">
                  <c:v>UKIA Legal</c:v>
                </c:pt>
                <c:pt idx="1">
                  <c:v>GALLIA Legal</c:v>
                </c:pt>
                <c:pt idx="2">
                  <c:v>NA Legal</c:v>
                </c:pt>
                <c:pt idx="3">
                  <c:v>India Procurement</c:v>
                </c:pt>
                <c:pt idx="4">
                  <c:v>PH Procurement</c:v>
                </c:pt>
                <c:pt idx="5">
                  <c:v>NA Procurement</c:v>
                </c:pt>
              </c:strCache>
            </c:strRef>
          </c:cat>
          <c:val>
            <c:numRef>
              <c:f>'UAT Report'!$S$78:$S$83</c:f>
              <c:numCache>
                <c:formatCode>General</c:formatCode>
                <c:ptCount val="6"/>
                <c:pt idx="0">
                  <c:v>0</c:v>
                </c:pt>
                <c:pt idx="1">
                  <c:v>0</c:v>
                </c:pt>
                <c:pt idx="2">
                  <c:v>0</c:v>
                </c:pt>
                <c:pt idx="3">
                  <c:v>4</c:v>
                </c:pt>
                <c:pt idx="4">
                  <c:v>1</c:v>
                </c:pt>
                <c:pt idx="5">
                  <c:v>0</c:v>
                </c:pt>
              </c:numCache>
            </c:numRef>
          </c:val>
          <c:extLst>
            <c:ext xmlns:c16="http://schemas.microsoft.com/office/drawing/2014/chart" uri="{C3380CC4-5D6E-409C-BE32-E72D297353CC}">
              <c16:uniqueId val="{00000004-E303-49E8-860E-478EAD408AA1}"/>
            </c:ext>
          </c:extLst>
        </c:ser>
        <c:dLbls>
          <c:showLegendKey val="0"/>
          <c:showVal val="0"/>
          <c:showCatName val="0"/>
          <c:showSerName val="0"/>
          <c:showPercent val="0"/>
          <c:showBubbleSize val="0"/>
        </c:dLbls>
        <c:gapWidth val="150"/>
        <c:overlap val="100"/>
        <c:axId val="968759279"/>
        <c:axId val="968775503"/>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62914478891995795"/>
          <c:h val="7.4812022201277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4E1-4347-BADB-232E5116E4A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4E1-4347-BADB-232E5116E4A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4E1-4347-BADB-232E5116E4A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4E1-4347-BADB-232E5116E4A6}"/>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4E1-4347-BADB-232E5116E4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'UAT Report'!$O$143:$S$143</c:f>
              <c:strCache>
                <c:ptCount val="5"/>
                <c:pt idx="0">
                  <c:v>Passed</c:v>
                </c:pt>
                <c:pt idx="1">
                  <c:v>Failed</c:v>
                </c:pt>
                <c:pt idx="2">
                  <c:v>In Progress</c:v>
                </c:pt>
                <c:pt idx="3">
                  <c:v>Not Started</c:v>
                </c:pt>
                <c:pt idx="4">
                  <c:v>Not Applicable</c:v>
                </c:pt>
              </c:strCache>
            </c:strRef>
          </c:cat>
          <c:val>
            <c:numRef>
              <c:f>'UAT Report'!$O$144:$S$144</c:f>
              <c:numCache>
                <c:formatCode>General</c:formatCode>
                <c:ptCount val="5"/>
                <c:pt idx="0">
                  <c:v>21</c:v>
                </c:pt>
                <c:pt idx="1">
                  <c:v>0</c:v>
                </c:pt>
                <c:pt idx="2">
                  <c:v>0</c:v>
                </c:pt>
                <c:pt idx="3">
                  <c:v>0</c:v>
                </c:pt>
                <c:pt idx="4">
                  <c:v>0</c:v>
                </c:pt>
              </c:numCache>
            </c:numRef>
          </c:val>
          <c:extLst>
            <c:ext xmlns:c16="http://schemas.microsoft.com/office/drawing/2014/chart" uri="{C3380CC4-5D6E-409C-BE32-E72D297353CC}">
              <c16:uniqueId val="{0000000A-54E1-4347-BADB-232E5116E4A6}"/>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Report'!$O$135</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Report'!$O$136:$O$139</c:f>
              <c:numCache>
                <c:formatCode>General</c:formatCode>
                <c:ptCount val="4"/>
                <c:pt idx="0">
                  <c:v>3</c:v>
                </c:pt>
                <c:pt idx="1">
                  <c:v>3</c:v>
                </c:pt>
                <c:pt idx="2">
                  <c:v>3</c:v>
                </c:pt>
                <c:pt idx="3">
                  <c:v>12</c:v>
                </c:pt>
              </c:numCache>
            </c:numRef>
          </c:val>
          <c:extLst>
            <c:ext xmlns:c16="http://schemas.microsoft.com/office/drawing/2014/chart" uri="{C3380CC4-5D6E-409C-BE32-E72D297353CC}">
              <c16:uniqueId val="{00000000-7010-4204-BF26-32117C65626F}"/>
            </c:ext>
          </c:extLst>
        </c:ser>
        <c:ser>
          <c:idx val="1"/>
          <c:order val="1"/>
          <c:tx>
            <c:strRef>
              <c:f>'UAT Report'!$P$135</c:f>
              <c:strCache>
                <c:ptCount val="1"/>
                <c:pt idx="0">
                  <c:v>Failed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Report'!$P$136:$P$139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7010-4204-BF26-32117C65626F}"/>
            </c:ext>
          </c:extLst>
        </c:ser>
        <c:ser>
          <c:idx val="2"/>
          <c:order val="2"/>
          <c:tx>
            <c:strRef>
              <c:f>'UAT Report'!$Q$135</c:f>
              <c:strCache>
                <c:ptCount val="1"/>
                <c:pt idx="0">
                  <c:v>In Progress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Report'!$Q$136:$Q$139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7010-4204-BF26-32117C65626F}"/>
            </c:ext>
          </c:extLst>
        </c:ser>
        <c:ser>
          <c:idx val="3"/>
          <c:order val="3"/>
          <c:tx>
            <c:strRef>
              <c:f>'UAT Report'!$R$135</c:f>
              <c:strCache>
                <c:ptCount val="1"/>
                <c:pt idx="0">
                  <c:v>Not Started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Report'!$R$136:$R$139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7010-4204-BF26-32117C65626F}"/>
            </c:ext>
          </c:extLst>
        </c:ser>
        <c:ser>
          <c:idx val="4"/>
          <c:order val="4"/>
          <c:tx>
            <c:strRef>
              <c:f>'UAT Report'!$S$135</c:f>
              <c:strCache>
                <c:ptCount val="1"/>
                <c:pt idx="0">
                  <c:v>Not Applicable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Report'!$S$136:$S$139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4-7010-4204-BF26-32117C65626F}"/>
            </c:ext>
          </c:extLst>
        </c:ser>
        <c:dLbls>
          <c:showLegendKey val="0"/>
          <c:showVal val="0"/>
          <c:showCatName val="0"/>
          <c:showSerName val="0"/>
          <c:showPercent val="0"/>
          <c:showBubbleSize val="0"/>
        </c:dLbls>
        <c:gapWidth val="150"/>
        <c:overlap val="100"/>
        <c:axId val="968759279"/>
        <c:axId val="968775503"/>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62914478891995795"/>
          <c:h val="7.4812022201277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28B-4C54-8AF3-047153B6DCF3}"/>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28B-4C54-8AF3-047153B6DCF3}"/>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28B-4C54-8AF3-047153B6DCF3}"/>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28B-4C54-8AF3-047153B6DC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'UAT Report'!$O$143:$R$143</c:f>
              <c:strCache>
                <c:ptCount val="4"/>
                <c:pt idx="0">
                  <c:v>Passed</c:v>
                </c:pt>
                <c:pt idx="1">
                  <c:v>Failed</c:v>
                </c:pt>
                <c:pt idx="2">
                  <c:v>In Progress</c:v>
                </c:pt>
                <c:pt idx="3">
                  <c:v>Not Started</c:v>
                </c:pt>
              </c:strCache>
            </c:strRef>
          </c:cat>
          <c:val>
            <c:numRef>
              <c:f>'UAT Report'!$O$144:$R$144</c:f>
              <c:numCache>
                <c:formatCode>General</c:formatCode>
                <c:ptCount val="4"/>
                <c:pt idx="0">
                  <c:v>21</c:v>
                </c:pt>
                <c:pt idx="1">
                  <c:v>0</c:v>
                </c:pt>
                <c:pt idx="2">
                  <c:v>0</c:v>
                </c:pt>
                <c:pt idx="3">
                  <c:v>0</c:v>
                </c:pt>
              </c:numCache>
            </c:numRef>
          </c:val>
          <c:extLst>
            <c:ext xmlns:c16="http://schemas.microsoft.com/office/drawing/2014/chart" uri="{C3380CC4-5D6E-409C-BE32-E72D297353CC}">
              <c16:uniqueId val="{00000008-628B-4C54-8AF3-047153B6DCF3}"/>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Report'!$O$135</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Report'!$O$136:$O$139</c:f>
              <c:numCache>
                <c:formatCode>General</c:formatCode>
                <c:ptCount val="4"/>
                <c:pt idx="0">
                  <c:v>3</c:v>
                </c:pt>
                <c:pt idx="1">
                  <c:v>3</c:v>
                </c:pt>
                <c:pt idx="2">
                  <c:v>3</c:v>
                </c:pt>
                <c:pt idx="3">
                  <c:v>12</c:v>
                </c:pt>
              </c:numCache>
            </c:numRef>
          </c:val>
          <c:extLst>
            <c:ext xmlns:c16="http://schemas.microsoft.com/office/drawing/2014/chart" uri="{C3380CC4-5D6E-409C-BE32-E72D297353CC}">
              <c16:uniqueId val="{00000000-D3D3-4C46-AF62-5C73F740984C}"/>
            </c:ext>
          </c:extLst>
        </c:ser>
        <c:ser>
          <c:idx val="1"/>
          <c:order val="1"/>
          <c:tx>
            <c:strRef>
              <c:f>'UAT Report'!$P$135</c:f>
              <c:strCache>
                <c:ptCount val="1"/>
                <c:pt idx="0">
                  <c:v>Failed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Report'!$P$136:$P$139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D3D3-4C46-AF62-5C73F740984C}"/>
            </c:ext>
          </c:extLst>
        </c:ser>
        <c:ser>
          <c:idx val="2"/>
          <c:order val="2"/>
          <c:tx>
            <c:strRef>
              <c:f>'UAT Report'!$Q$135</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Report'!$Q$136:$Q$139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D3D3-4C46-AF62-5C73F740984C}"/>
            </c:ext>
          </c:extLst>
        </c:ser>
        <c:ser>
          <c:idx val="3"/>
          <c:order val="3"/>
          <c:tx>
            <c:strRef>
              <c:f>'UAT Report'!$R$135</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Report'!$N$136:$N$139</c:f>
              <c:strCache>
                <c:ptCount val="4"/>
                <c:pt idx="0">
                  <c:v>ASGR Legal</c:v>
                </c:pt>
                <c:pt idx="1">
                  <c:v>NA Procurement</c:v>
                </c:pt>
                <c:pt idx="2">
                  <c:v>India Procurement</c:v>
                </c:pt>
                <c:pt idx="3">
                  <c:v>PH Procurement</c:v>
                </c:pt>
              </c:strCache>
            </c:strRef>
          </c:cat>
          <c:val>
            <c:numRef>
              <c:f>'UAT Report'!$R$136:$R$139</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D3D3-4C46-AF62-5C73F740984C}"/>
            </c:ext>
          </c:extLst>
        </c:ser>
        <c:dLbls>
          <c:showLegendKey val="0"/>
          <c:showVal val="0"/>
          <c:showCatName val="0"/>
          <c:showSerName val="0"/>
          <c:showPercent val="0"/>
          <c:showBubbleSize val="0"/>
        </c:dLbls>
        <c:gapWidth val="150"/>
        <c:overlap val="100"/>
        <c:axId val="968759279"/>
        <c:axId val="968775503"/>
        <c:extLst/>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62914478891995795"/>
          <c:h val="7.4812022201277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spPr>
            <a:ln>
              <a:noFill/>
            </a:ln>
          </c:spPr>
          <c:dPt>
            <c:idx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ABA-4869-A4B0-7FFD6398E3A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ABA-4869-A4B0-7FFD6398E3A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ABA-4869-A4B0-7FFD6398E3AD}"/>
              </c:ext>
            </c:extLst>
          </c:dPt>
          <c:dPt>
            <c:idx val="3"/>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ABA-4869-A4B0-7FFD6398E3A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ABA-4869-A4B0-7FFD6398E3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'UAT Report'!$D$227:$I$227</c:f>
              <c:strCache>
                <c:ptCount val="5"/>
                <c:pt idx="0">
                  <c:v>Passed</c:v>
                </c:pt>
                <c:pt idx="1">
                  <c:v>Failed</c:v>
                </c:pt>
                <c:pt idx="2">
                  <c:v>In Progress</c:v>
                </c:pt>
                <c:pt idx="3">
                  <c:v>Not Started</c:v>
                </c:pt>
                <c:pt idx="4">
                  <c:v>Not Applicable</c:v>
                </c:pt>
              </c:strCache>
            </c:strRef>
          </c:cat>
          <c:val>
            <c:numRef>
              <c:f>'UAT Report'!$D$228:$I$228</c:f>
              <c:numCache>
                <c:formatCode>General</c:formatCode>
                <c:ptCount val="5"/>
                <c:pt idx="0">
                  <c:v>30</c:v>
                </c:pt>
                <c:pt idx="1">
                  <c:v>0</c:v>
                </c:pt>
                <c:pt idx="2">
                  <c:v>0</c:v>
                </c:pt>
                <c:pt idx="3">
                  <c:v>0</c:v>
                </c:pt>
                <c:pt idx="4">
                  <c:v>6</c:v>
                </c:pt>
              </c:numCache>
            </c:numRef>
          </c:val>
          <c:extLst>
            <c:ext xmlns:c16="http://schemas.microsoft.com/office/drawing/2014/chart" uri="{C3380CC4-5D6E-409C-BE32-E72D297353CC}">
              <c16:uniqueId val="{0000000C-CABA-4869-A4B0-7FFD6398E3AD}"/>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Report'!$D$218</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Report'!$B$219:$B$223</c:f>
              <c:strCache>
                <c:ptCount val="5"/>
                <c:pt idx="0">
                  <c:v>ASGR Legal</c:v>
                </c:pt>
                <c:pt idx="1">
                  <c:v>ASGR Procurement</c:v>
                </c:pt>
                <c:pt idx="2">
                  <c:v>ICEG Procurement</c:v>
                </c:pt>
                <c:pt idx="3">
                  <c:v>PH Procurement</c:v>
                </c:pt>
                <c:pt idx="4">
                  <c:v>INDIA Procurement</c:v>
                </c:pt>
              </c:strCache>
            </c:strRef>
          </c:cat>
          <c:val>
            <c:numRef>
              <c:f>'UAT Report'!$D$219:$D$223</c:f>
              <c:numCache>
                <c:formatCode>General</c:formatCode>
                <c:ptCount val="5"/>
                <c:pt idx="0">
                  <c:v>8</c:v>
                </c:pt>
                <c:pt idx="1">
                  <c:v>4</c:v>
                </c:pt>
                <c:pt idx="2">
                  <c:v>3</c:v>
                </c:pt>
                <c:pt idx="3">
                  <c:v>12</c:v>
                </c:pt>
                <c:pt idx="4">
                  <c:v>3</c:v>
                </c:pt>
              </c:numCache>
            </c:numRef>
          </c:val>
          <c:extLst>
            <c:ext xmlns:c16="http://schemas.microsoft.com/office/drawing/2014/chart" uri="{C3380CC4-5D6E-409C-BE32-E72D297353CC}">
              <c16:uniqueId val="{00000000-F24E-435B-AF31-94308E78C5BA}"/>
            </c:ext>
          </c:extLst>
        </c:ser>
        <c:ser>
          <c:idx val="1"/>
          <c:order val="1"/>
          <c:tx>
            <c:strRef>
              <c:f>'[11]UAT Report'!$D$227</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'[11]UAT Report'!$B$228:$B$232</c:f>
              <c:strCache>
                <c:ptCount val="5"/>
                <c:pt idx="0">
                  <c:v>ASGR Legal</c:v>
                </c:pt>
                <c:pt idx="1">
                  <c:v>ASGR Procurement</c:v>
                </c:pt>
                <c:pt idx="2">
                  <c:v>ICEG Procurement</c:v>
                </c:pt>
                <c:pt idx="3">
                  <c:v>PH Procurement</c:v>
                </c:pt>
                <c:pt idx="4">
                  <c:v>INDIA Procurement</c:v>
                </c:pt>
              </c:strCache>
            </c:strRef>
          </c:cat>
          <c:val>
            <c:numRef>
              <c:f>'[11]UAT Report'!$D$228:$D$232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F24E-435B-AF31-94308E78C5BA}"/>
            </c:ext>
          </c:extLst>
        </c:ser>
        <c:ser>
          <c:idx val="2"/>
          <c:order val="2"/>
          <c:tx>
            <c:strRef>
              <c:f>'[11]UAT Report'!$E$227</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'[11]UAT Report'!$B$228:$B$232</c:f>
              <c:strCache>
                <c:ptCount val="5"/>
                <c:pt idx="0">
                  <c:v>ASGR Legal</c:v>
                </c:pt>
                <c:pt idx="1">
                  <c:v>ASGR Procurement</c:v>
                </c:pt>
                <c:pt idx="2">
                  <c:v>ICEG Procurement</c:v>
                </c:pt>
                <c:pt idx="3">
                  <c:v>PH Procurement</c:v>
                </c:pt>
                <c:pt idx="4">
                  <c:v>INDIA Procurement</c:v>
                </c:pt>
              </c:strCache>
            </c:strRef>
          </c:cat>
          <c:val>
            <c:numRef>
              <c:f>'[11]UAT Report'!$E$228:$E$232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F24E-435B-AF31-94308E78C5BA}"/>
            </c:ext>
          </c:extLst>
        </c:ser>
        <c:ser>
          <c:idx val="3"/>
          <c:order val="3"/>
          <c:tx>
            <c:strRef>
              <c:f>'UAT Report'!$H$218</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Report'!$B$219:$B$223</c:f>
              <c:strCache>
                <c:ptCount val="5"/>
                <c:pt idx="0">
                  <c:v>ASGR Legal</c:v>
                </c:pt>
                <c:pt idx="1">
                  <c:v>ASGR Procurement</c:v>
                </c:pt>
                <c:pt idx="2">
                  <c:v>ICEG Procurement</c:v>
                </c:pt>
                <c:pt idx="3">
                  <c:v>PH Procurement</c:v>
                </c:pt>
                <c:pt idx="4">
                  <c:v>INDIA Procurement</c:v>
                </c:pt>
              </c:strCache>
            </c:strRef>
          </c:cat>
          <c:val>
            <c:numRef>
              <c:f>'UAT Report'!$H$219:$H$223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F24E-435B-AF31-94308E78C5BA}"/>
            </c:ext>
          </c:extLst>
        </c:ser>
        <c:ser>
          <c:idx val="4"/>
          <c:order val="4"/>
          <c:tx>
            <c:strRef>
              <c:f>'UAT Report'!$I$218</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'UAT Report'!$B$219:$B$223</c:f>
              <c:strCache>
                <c:ptCount val="5"/>
                <c:pt idx="0">
                  <c:v>ASGR Legal</c:v>
                </c:pt>
                <c:pt idx="1">
                  <c:v>ASGR Procurement</c:v>
                </c:pt>
                <c:pt idx="2">
                  <c:v>ICEG Procurement</c:v>
                </c:pt>
                <c:pt idx="3">
                  <c:v>PH Procurement</c:v>
                </c:pt>
                <c:pt idx="4">
                  <c:v>INDIA Procurement</c:v>
                </c:pt>
              </c:strCache>
            </c:strRef>
          </c:cat>
          <c:val>
            <c:numRef>
              <c:f>'UAT Report'!$I$219:$I$223</c:f>
              <c:numCache>
                <c:formatCode>General</c:formatCode>
                <c:ptCount val="5"/>
                <c:pt idx="0">
                  <c:v>4</c:v>
                </c:pt>
                <c:pt idx="1">
                  <c:v>2</c:v>
                </c:pt>
                <c:pt idx="2">
                  <c:v>0</c:v>
                </c:pt>
                <c:pt idx="3">
                  <c:v>0</c:v>
                </c:pt>
                <c:pt idx="4">
                  <c:v>0</c:v>
                </c:pt>
              </c:numCache>
            </c:numRef>
          </c:val>
          <c:extLst>
            <c:ext xmlns:c16="http://schemas.microsoft.com/office/drawing/2014/chart" uri="{C3380CC4-5D6E-409C-BE32-E72D297353CC}">
              <c16:uniqueId val="{00000004-F24E-435B-AF31-94308E78C5BA}"/>
            </c:ext>
          </c:extLst>
        </c:ser>
        <c:dLbls>
          <c:showLegendKey val="0"/>
          <c:showVal val="0"/>
          <c:showCatName val="0"/>
          <c:showSerName val="0"/>
          <c:showPercent val="0"/>
          <c:showBubbleSize val="0"/>
        </c:dLbls>
        <c:gapWidth val="150"/>
        <c:overlap val="100"/>
        <c:axId val="968759279"/>
        <c:axId val="968775503"/>
        <c:extLst/>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74663661674411719"/>
          <c:h val="7.77444482372969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Test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61962951796059E-2"/>
          <c:y val="0.17570727435696684"/>
          <c:w val="0.95495139620037439"/>
          <c:h val="0.67372088977989297"/>
        </c:manualLayout>
      </c:layout>
      <c:pie3DChart>
        <c:varyColors val="1"/>
        <c:ser>
          <c:idx val="0"/>
          <c:order val="0"/>
          <c:spPr>
            <a:ln>
              <a:noFill/>
            </a:ln>
          </c:spPr>
          <c:dPt>
            <c:idx val="0"/>
            <c:bubble3D val="0"/>
            <c:spPr>
              <a:solidFill>
                <a:srgbClr val="0070C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38A-4EF0-8EB6-8CF5CAF4B8F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38A-4EF0-8EB6-8CF5CAF4B8F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38A-4EF0-8EB6-8CF5CAF4B8F8}"/>
              </c:ext>
            </c:extLst>
          </c:dPt>
          <c:dPt>
            <c:idx val="3"/>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38A-4EF0-8EB6-8CF5CAF4B8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'UAT Report'!$D$227:$H$227</c:f>
              <c:strCache>
                <c:ptCount val="4"/>
                <c:pt idx="0">
                  <c:v>Passed</c:v>
                </c:pt>
                <c:pt idx="1">
                  <c:v>Failed</c:v>
                </c:pt>
                <c:pt idx="2">
                  <c:v>In Progress</c:v>
                </c:pt>
                <c:pt idx="3">
                  <c:v>Not Started</c:v>
                </c:pt>
              </c:strCache>
            </c:strRef>
          </c:cat>
          <c:val>
            <c:numRef>
              <c:f>'UAT Report'!$D$228:$H$228</c:f>
              <c:numCache>
                <c:formatCode>General</c:formatCode>
                <c:ptCount val="4"/>
                <c:pt idx="0">
                  <c:v>30</c:v>
                </c:pt>
                <c:pt idx="1">
                  <c:v>0</c:v>
                </c:pt>
                <c:pt idx="2">
                  <c:v>0</c:v>
                </c:pt>
                <c:pt idx="3">
                  <c:v>0</c:v>
                </c:pt>
              </c:numCache>
            </c:numRef>
          </c:val>
          <c:extLst>
            <c:ext xmlns:c16="http://schemas.microsoft.com/office/drawing/2014/chart" uri="{C3380CC4-5D6E-409C-BE32-E72D297353CC}">
              <c16:uniqueId val="{0000000A-238A-4EF0-8EB6-8CF5CAF4B8F8}"/>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 of Test</a:t>
            </a:r>
            <a:r>
              <a:rPr lang="en-US" baseline="0"/>
              <a: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Report'!$D$218</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Report'!$B$219:$B$223</c:f>
              <c:strCache>
                <c:ptCount val="5"/>
                <c:pt idx="0">
                  <c:v>ASGR Legal</c:v>
                </c:pt>
                <c:pt idx="1">
                  <c:v>ASGR Procurement</c:v>
                </c:pt>
                <c:pt idx="2">
                  <c:v>ICEG Procurement</c:v>
                </c:pt>
                <c:pt idx="3">
                  <c:v>PH Procurement</c:v>
                </c:pt>
                <c:pt idx="4">
                  <c:v>INDIA Procurement</c:v>
                </c:pt>
              </c:strCache>
            </c:strRef>
          </c:cat>
          <c:val>
            <c:numRef>
              <c:f>'UAT Report'!$D$219:$D$223</c:f>
              <c:numCache>
                <c:formatCode>General</c:formatCode>
                <c:ptCount val="5"/>
                <c:pt idx="0">
                  <c:v>8</c:v>
                </c:pt>
                <c:pt idx="1">
                  <c:v>4</c:v>
                </c:pt>
                <c:pt idx="2">
                  <c:v>3</c:v>
                </c:pt>
                <c:pt idx="3">
                  <c:v>12</c:v>
                </c:pt>
                <c:pt idx="4">
                  <c:v>3</c:v>
                </c:pt>
              </c:numCache>
            </c:numRef>
          </c:val>
          <c:extLst>
            <c:ext xmlns:c16="http://schemas.microsoft.com/office/drawing/2014/chart" uri="{C3380CC4-5D6E-409C-BE32-E72D297353CC}">
              <c16:uniqueId val="{00000000-D8BD-470F-8BDB-66ECAA716380}"/>
            </c:ext>
          </c:extLst>
        </c:ser>
        <c:ser>
          <c:idx val="1"/>
          <c:order val="1"/>
          <c:tx>
            <c:strRef>
              <c:f>'[11]UAT Report'!$D$227</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'[11]UAT Report'!$B$228:$B$232</c:f>
              <c:strCache>
                <c:ptCount val="5"/>
                <c:pt idx="0">
                  <c:v>ASGR Legal</c:v>
                </c:pt>
                <c:pt idx="1">
                  <c:v>ASGR Procurement</c:v>
                </c:pt>
                <c:pt idx="2">
                  <c:v>ICEG Procurement</c:v>
                </c:pt>
                <c:pt idx="3">
                  <c:v>PH Procurement</c:v>
                </c:pt>
                <c:pt idx="4">
                  <c:v>INDIA Procurement</c:v>
                </c:pt>
              </c:strCache>
            </c:strRef>
          </c:cat>
          <c:val>
            <c:numRef>
              <c:f>'[11]UAT Report'!$D$228:$D$232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D8BD-470F-8BDB-66ECAA716380}"/>
            </c:ext>
          </c:extLst>
        </c:ser>
        <c:ser>
          <c:idx val="2"/>
          <c:order val="2"/>
          <c:tx>
            <c:strRef>
              <c:f>'[11]UAT Report'!$E$227</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'[11]UAT Report'!$B$228:$B$232</c:f>
              <c:strCache>
                <c:ptCount val="5"/>
                <c:pt idx="0">
                  <c:v>ASGR Legal</c:v>
                </c:pt>
                <c:pt idx="1">
                  <c:v>ASGR Procurement</c:v>
                </c:pt>
                <c:pt idx="2">
                  <c:v>ICEG Procurement</c:v>
                </c:pt>
                <c:pt idx="3">
                  <c:v>PH Procurement</c:v>
                </c:pt>
                <c:pt idx="4">
                  <c:v>INDIA Procurement</c:v>
                </c:pt>
              </c:strCache>
            </c:strRef>
          </c:cat>
          <c:val>
            <c:numRef>
              <c:f>'[11]UAT Report'!$E$228:$E$232</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D8BD-470F-8BDB-66ECAA716380}"/>
            </c:ext>
          </c:extLst>
        </c:ser>
        <c:ser>
          <c:idx val="3"/>
          <c:order val="3"/>
          <c:tx>
            <c:strRef>
              <c:f>'UAT Report'!$H$218</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Report'!$B$219:$B$223</c:f>
              <c:strCache>
                <c:ptCount val="5"/>
                <c:pt idx="0">
                  <c:v>ASGR Legal</c:v>
                </c:pt>
                <c:pt idx="1">
                  <c:v>ASGR Procurement</c:v>
                </c:pt>
                <c:pt idx="2">
                  <c:v>ICEG Procurement</c:v>
                </c:pt>
                <c:pt idx="3">
                  <c:v>PH Procurement</c:v>
                </c:pt>
                <c:pt idx="4">
                  <c:v>INDIA Procurement</c:v>
                </c:pt>
              </c:strCache>
            </c:strRef>
          </c:cat>
          <c:val>
            <c:numRef>
              <c:f>'UAT Report'!$H$219:$H$223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D8BD-470F-8BDB-66ECAA716380}"/>
            </c:ext>
          </c:extLst>
        </c:ser>
        <c:dLbls>
          <c:showLegendKey val="0"/>
          <c:showVal val="0"/>
          <c:showCatName val="0"/>
          <c:showSerName val="0"/>
          <c:showPercent val="0"/>
          <c:showBubbleSize val="0"/>
        </c:dLbls>
        <c:gapWidth val="150"/>
        <c:overlap val="100"/>
        <c:axId val="968759279"/>
        <c:axId val="968775503"/>
        <c:extLst/>
      </c:barChart>
      <c:catAx>
        <c:axId val="968759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75503"/>
        <c:crosses val="autoZero"/>
        <c:auto val="1"/>
        <c:lblAlgn val="ctr"/>
        <c:lblOffset val="100"/>
        <c:noMultiLvlLbl val="0"/>
      </c:catAx>
      <c:valAx>
        <c:axId val="96877550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759279"/>
        <c:crosses val="autoZero"/>
        <c:crossBetween val="between"/>
      </c:valAx>
      <c:spPr>
        <a:noFill/>
        <a:ln>
          <a:noFill/>
        </a:ln>
        <a:effectLst/>
      </c:spPr>
    </c:plotArea>
    <c:legend>
      <c:legendPos val="b"/>
      <c:layout>
        <c:manualLayout>
          <c:xMode val="edge"/>
          <c:yMode val="edge"/>
          <c:x val="0.18092957033138476"/>
          <c:y val="0.89415505986665267"/>
          <c:w val="0.62914478891995795"/>
          <c:h val="7.4812022201277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a:t>
            </a:r>
            <a:r>
              <a:rPr lang="en-US" baseline="0"/>
              <a:t> Test Status</a:t>
            </a:r>
            <a:endParaRPr lang="en-US"/>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86A-473F-81FD-CD5F8384FC08}"/>
              </c:ext>
            </c:extLst>
          </c:dPt>
          <c:dPt>
            <c:idx val="1"/>
            <c:bubble3D val="0"/>
            <c:spPr>
              <a:solidFill>
                <a:srgbClr val="FF000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186A-473F-81FD-CD5F8384FC08}"/>
              </c:ext>
            </c:extLst>
          </c:dPt>
          <c:dPt>
            <c:idx val="2"/>
            <c:bubble3D val="0"/>
            <c:spPr>
              <a:solidFill>
                <a:srgbClr val="00B05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86A-473F-81FD-CD5F8384FC08}"/>
              </c:ext>
            </c:extLst>
          </c:dPt>
          <c:dPt>
            <c:idx val="3"/>
            <c:bubble3D val="0"/>
            <c:spPr>
              <a:solidFill>
                <a:schemeClr val="bg1">
                  <a:lumMod val="5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186A-473F-81FD-CD5F8384FC08}"/>
              </c:ext>
            </c:extLst>
          </c:dPt>
          <c:dPt>
            <c:idx val="4"/>
            <c:bubble3D val="0"/>
            <c:spPr>
              <a:solidFill>
                <a:srgbClr val="002060"/>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86A-473F-81FD-CD5F8384FC08}"/>
              </c:ext>
            </c:extLst>
          </c:dPt>
          <c:dLbls>
            <c:dLbl>
              <c:idx val="0"/>
              <c:tx>
                <c:rich>
                  <a:bodyPr/>
                  <a:lstStyle/>
                  <a:p>
                    <a:fld id="{9491BEE9-A03D-4AFF-B6DA-5DDA32E6E914}" type="PERCENTAGE">
                      <a:rPr lang="en-US"/>
                      <a:pPr/>
                      <a:t>[]</a:t>
                    </a:fld>
                    <a:r>
                      <a:rPr lang="en-US"/>
                      <a:t> Passed</a:t>
                    </a:r>
                  </a:p>
                </c:rich>
              </c:tx>
              <c:dLblPos val="out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86A-473F-81FD-CD5F8384FC08}"/>
                </c:ext>
              </c:extLst>
            </c:dLbl>
            <c:dLbl>
              <c:idx val="1"/>
              <c:delete val="1"/>
              <c:extLst>
                <c:ext xmlns:c15="http://schemas.microsoft.com/office/drawing/2012/chart" uri="{CE6537A1-D6FC-4f65-9D91-7224C49458BB}"/>
                <c:ext xmlns:c16="http://schemas.microsoft.com/office/drawing/2014/chart" uri="{C3380CC4-5D6E-409C-BE32-E72D297353CC}">
                  <c16:uniqueId val="{00000006-186A-473F-81FD-CD5F8384FC08}"/>
                </c:ext>
              </c:extLst>
            </c:dLbl>
            <c:dLbl>
              <c:idx val="2"/>
              <c:delete val="1"/>
              <c:extLst>
                <c:ext xmlns:c15="http://schemas.microsoft.com/office/drawing/2012/chart" uri="{CE6537A1-D6FC-4f65-9D91-7224C49458BB}"/>
                <c:ext xmlns:c16="http://schemas.microsoft.com/office/drawing/2014/chart" uri="{C3380CC4-5D6E-409C-BE32-E72D297353CC}">
                  <c16:uniqueId val="{00000007-186A-473F-81FD-CD5F8384FC08}"/>
                </c:ext>
              </c:extLst>
            </c:dLbl>
            <c:dLbl>
              <c:idx val="3"/>
              <c:delete val="1"/>
              <c:extLst>
                <c:ext xmlns:c15="http://schemas.microsoft.com/office/drawing/2012/chart" uri="{CE6537A1-D6FC-4f65-9D91-7224C49458BB}"/>
                <c:ext xmlns:c16="http://schemas.microsoft.com/office/drawing/2014/chart" uri="{C3380CC4-5D6E-409C-BE32-E72D297353CC}">
                  <c16:uniqueId val="{00000008-186A-473F-81FD-CD5F8384FC08}"/>
                </c:ext>
              </c:extLst>
            </c:dLbl>
            <c:dLbl>
              <c:idx val="4"/>
              <c:delete val="1"/>
              <c:extLst>
                <c:ext xmlns:c15="http://schemas.microsoft.com/office/drawing/2012/chart" uri="{CE6537A1-D6FC-4f65-9D91-7224C49458BB}"/>
                <c:ext xmlns:c16="http://schemas.microsoft.com/office/drawing/2014/chart" uri="{C3380CC4-5D6E-409C-BE32-E72D297353CC}">
                  <c16:uniqueId val="{00000009-186A-473F-81FD-CD5F8384FC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'UAT Report'!$O$3:$S$3</c:f>
              <c:strCache>
                <c:ptCount val="5"/>
                <c:pt idx="0">
                  <c:v>Passed</c:v>
                </c:pt>
                <c:pt idx="1">
                  <c:v>Failed</c:v>
                </c:pt>
                <c:pt idx="2">
                  <c:v>In Progress</c:v>
                </c:pt>
                <c:pt idx="3">
                  <c:v>Not Started</c:v>
                </c:pt>
                <c:pt idx="4">
                  <c:v>Not Applicable</c:v>
                </c:pt>
              </c:strCache>
            </c:strRef>
          </c:cat>
          <c:val>
            <c:numRef>
              <c:f>'UAT Report'!$O$4:$S$4</c:f>
              <c:numCache>
                <c:formatCode>General</c:formatCode>
                <c:ptCount val="5"/>
                <c:pt idx="0">
                  <c:v>12</c:v>
                </c:pt>
                <c:pt idx="1">
                  <c:v>0</c:v>
                </c:pt>
                <c:pt idx="2">
                  <c:v>0</c:v>
                </c:pt>
                <c:pt idx="3">
                  <c:v>0</c:v>
                </c:pt>
                <c:pt idx="4">
                  <c:v>0</c:v>
                </c:pt>
              </c:numCache>
            </c:numRef>
          </c:val>
          <c:extLst>
            <c:ext xmlns:c16="http://schemas.microsoft.com/office/drawing/2014/chart" uri="{C3380CC4-5D6E-409C-BE32-E72D297353CC}">
              <c16:uniqueId val="{00000000-186A-473F-81FD-CD5F8384FC08}"/>
            </c:ext>
          </c:extLst>
        </c:ser>
        <c:dLbls>
          <c:showLegendKey val="0"/>
          <c:showVal val="0"/>
          <c:showCatName val="0"/>
          <c:showSerName val="0"/>
          <c:showPercent val="0"/>
          <c:showBubbleSize val="0"/>
          <c:showLeaderLines val="0"/>
        </c:dLbls>
        <c:extLst>
          <c:ext xmlns:c15="http://schemas.microsoft.com/office/drawing/2012/chart" uri="{02D57815-91ED-43cb-92C2-25804820EDAC}">
            <c15:filteredPieSeries>
              <c15:ser>
                <c:idx val="1"/>
                <c:order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0452-4EBF-B8A7-977C2C235E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0452-4EBF-B8A7-977C2C235E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0452-4EBF-B8A7-977C2C235E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0452-4EBF-B8A7-977C2C235E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452-4EBF-B8A7-977C2C235EE7}"/>
                    </c:ext>
                  </c:extLst>
                </c:dPt>
                <c:cat>
                  <c:strRef>
                    <c:extLst>
                      <c:ext uri="{02D57815-91ED-43cb-92C2-25804820EDAC}">
                        <c15:formulaRef>
                          <c15:sqref>'UAT Report'!$O$3:$S$3</c15:sqref>
                        </c15:formulaRef>
                      </c:ext>
                    </c:extLst>
                    <c:strCache>
                      <c:ptCount val="5"/>
                      <c:pt idx="0">
                        <c:v>Passed</c:v>
                      </c:pt>
                      <c:pt idx="1">
                        <c:v>Failed</c:v>
                      </c:pt>
                      <c:pt idx="2">
                        <c:v>In Progress</c:v>
                      </c:pt>
                      <c:pt idx="3">
                        <c:v>Not Started</c:v>
                      </c:pt>
                      <c:pt idx="4">
                        <c:v>Not Applicable</c:v>
                      </c:pt>
                    </c:strCache>
                  </c:strRef>
                </c:cat>
                <c:val>
                  <c:numRef>
                    <c:extLst>
                      <c:ext uri="{02D57815-91ED-43cb-92C2-25804820EDAC}">
                        <c15:formulaRef>
                          <c15:sqref>'UAT Report'!$O$5:$S$5</c15:sqref>
                        </c15:formulaRef>
                      </c:ext>
                    </c:extLst>
                    <c:numCache>
                      <c:formatCode>General</c:formatCode>
                      <c:ptCount val="5"/>
                      <c:pt idx="0">
                        <c:v>6</c:v>
                      </c:pt>
                      <c:pt idx="1">
                        <c:v>0</c:v>
                      </c:pt>
                      <c:pt idx="2">
                        <c:v>0</c:v>
                      </c:pt>
                      <c:pt idx="3">
                        <c:v>0</c:v>
                      </c:pt>
                      <c:pt idx="4">
                        <c:v>0</c:v>
                      </c:pt>
                    </c:numCache>
                  </c:numRef>
                </c:val>
                <c:extLst>
                  <c:ext xmlns:c16="http://schemas.microsoft.com/office/drawing/2014/chart" uri="{C3380CC4-5D6E-409C-BE32-E72D297353CC}">
                    <c16:uniqueId val="{00000001-186A-473F-81FD-CD5F8384FC08}"/>
                  </c:ext>
                </c:extLst>
              </c15:ser>
            </c15:filteredPieSeries>
            <c15:filteredPieSeries>
              <c15:ser>
                <c:idx val="2"/>
                <c:order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5-0452-4EBF-B8A7-977C2C235E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7-0452-4EBF-B8A7-977C2C235E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9-0452-4EBF-B8A7-977C2C235E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B-0452-4EBF-B8A7-977C2C235E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D-0452-4EBF-B8A7-977C2C235EE7}"/>
                    </c:ext>
                  </c:extLst>
                </c:dPt>
                <c:cat>
                  <c:strRef>
                    <c:extLst xmlns:c15="http://schemas.microsoft.com/office/drawing/2012/chart">
                      <c:ext xmlns:c15="http://schemas.microsoft.com/office/drawing/2012/chart" uri="{02D57815-91ED-43cb-92C2-25804820EDAC}">
                        <c15:formulaRef>
                          <c15:sqref>'UAT Report'!$O$3:$S$3</c15:sqref>
                        </c15:formulaRef>
                      </c:ext>
                    </c:extLst>
                    <c:strCache>
                      <c:ptCount val="5"/>
                      <c:pt idx="0">
                        <c:v>Passed</c:v>
                      </c:pt>
                      <c:pt idx="1">
                        <c:v>Failed</c:v>
                      </c:pt>
                      <c:pt idx="2">
                        <c:v>In Progress</c:v>
                      </c:pt>
                      <c:pt idx="3">
                        <c:v>Not Started</c:v>
                      </c:pt>
                      <c:pt idx="4">
                        <c:v>Not Applicable</c:v>
                      </c:pt>
                    </c:strCache>
                  </c:strRef>
                </c:cat>
                <c:val>
                  <c:numRef>
                    <c:extLst xmlns:c15="http://schemas.microsoft.com/office/drawing/2012/chart">
                      <c:ext xmlns:c15="http://schemas.microsoft.com/office/drawing/2012/chart" uri="{02D57815-91ED-43cb-92C2-25804820EDAC}">
                        <c15:formulaRef>
                          <c15:sqref>'UAT Report'!$O$6:$S$6</c15:sqref>
                        </c15:formulaRef>
                      </c:ext>
                    </c:extLst>
                    <c:numCache>
                      <c:formatCode>General</c:formatCode>
                      <c:ptCount val="5"/>
                      <c:pt idx="0">
                        <c:v>3</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2-186A-473F-81FD-CD5F8384FC08}"/>
                  </c:ext>
                </c:extLst>
              </c15:ser>
            </c15:filteredPieSeries>
            <c15:filteredPieSeries>
              <c15:ser>
                <c:idx val="3"/>
                <c:order val="3"/>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1F-0452-4EBF-B8A7-977C2C235E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1-0452-4EBF-B8A7-977C2C235E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3-0452-4EBF-B8A7-977C2C235E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5-0452-4EBF-B8A7-977C2C235E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7-0452-4EBF-B8A7-977C2C235EE7}"/>
                    </c:ext>
                  </c:extLst>
                </c:dPt>
                <c:cat>
                  <c:strRef>
                    <c:extLst xmlns:c15="http://schemas.microsoft.com/office/drawing/2012/chart">
                      <c:ext xmlns:c15="http://schemas.microsoft.com/office/drawing/2012/chart" uri="{02D57815-91ED-43cb-92C2-25804820EDAC}">
                        <c15:formulaRef>
                          <c15:sqref>'UAT Report'!$O$3:$S$3</c15:sqref>
                        </c15:formulaRef>
                      </c:ext>
                    </c:extLst>
                    <c:strCache>
                      <c:ptCount val="5"/>
                      <c:pt idx="0">
                        <c:v>Passed</c:v>
                      </c:pt>
                      <c:pt idx="1">
                        <c:v>Failed</c:v>
                      </c:pt>
                      <c:pt idx="2">
                        <c:v>In Progress</c:v>
                      </c:pt>
                      <c:pt idx="3">
                        <c:v>Not Started</c:v>
                      </c:pt>
                      <c:pt idx="4">
                        <c:v>Not Applicable</c:v>
                      </c:pt>
                    </c:strCache>
                  </c:strRef>
                </c:cat>
                <c:val>
                  <c:numRef>
                    <c:extLst xmlns:c15="http://schemas.microsoft.com/office/drawing/2012/chart">
                      <c:ext xmlns:c15="http://schemas.microsoft.com/office/drawing/2012/chart" uri="{02D57815-91ED-43cb-92C2-25804820EDAC}">
                        <c15:formulaRef>
                          <c15:sqref>'UAT Report'!$O$7:$S$7</c15:sqref>
                        </c15:formulaRef>
                      </c:ext>
                    </c:extLst>
                    <c:numCache>
                      <c:formatCode>General</c:formatCode>
                      <c:ptCount val="5"/>
                      <c:pt idx="0">
                        <c:v>3</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3-186A-473F-81FD-CD5F8384FC08}"/>
                  </c:ext>
                </c:extLst>
              </c15:ser>
            </c15:filteredPieSeries>
            <c15:filteredPieSeries>
              <c15:ser>
                <c:idx val="4"/>
                <c:order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9-0452-4EBF-B8A7-977C2C235E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B-0452-4EBF-B8A7-977C2C235E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D-0452-4EBF-B8A7-977C2C235EE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2F-0452-4EBF-B8A7-977C2C235EE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xmlns:c15="http://schemas.microsoft.com/office/drawing/2012/chart">
                    <c:ext xmlns:c16="http://schemas.microsoft.com/office/drawing/2014/chart" uri="{C3380CC4-5D6E-409C-BE32-E72D297353CC}">
                      <c16:uniqueId val="{00000031-0452-4EBF-B8A7-977C2C235EE7}"/>
                    </c:ext>
                  </c:extLst>
                </c:dPt>
                <c:cat>
                  <c:strRef>
                    <c:extLst xmlns:c15="http://schemas.microsoft.com/office/drawing/2012/chart">
                      <c:ext xmlns:c15="http://schemas.microsoft.com/office/drawing/2012/chart" uri="{02D57815-91ED-43cb-92C2-25804820EDAC}">
                        <c15:formulaRef>
                          <c15:sqref>'UAT Report'!$O$3:$S$3</c15:sqref>
                        </c15:formulaRef>
                      </c:ext>
                    </c:extLst>
                    <c:strCache>
                      <c:ptCount val="5"/>
                      <c:pt idx="0">
                        <c:v>Passed</c:v>
                      </c:pt>
                      <c:pt idx="1">
                        <c:v>Failed</c:v>
                      </c:pt>
                      <c:pt idx="2">
                        <c:v>In Progress</c:v>
                      </c:pt>
                      <c:pt idx="3">
                        <c:v>Not Started</c:v>
                      </c:pt>
                      <c:pt idx="4">
                        <c:v>Not Applicable</c:v>
                      </c:pt>
                    </c:strCache>
                  </c:strRef>
                </c:cat>
                <c:val>
                  <c:numRef>
                    <c:extLst xmlns:c15="http://schemas.microsoft.com/office/drawing/2012/chart">
                      <c:ext xmlns:c15="http://schemas.microsoft.com/office/drawing/2012/chart" uri="{02D57815-91ED-43cb-92C2-25804820EDAC}">
                        <c15:formulaRef>
                          <c15:sqref>'UAT Report'!$O$8:$S$8</c15:sqref>
                        </c15:formulaRef>
                      </c:ext>
                    </c:extLst>
                    <c:numCache>
                      <c:formatCode>General</c:formatCode>
                      <c:ptCount val="5"/>
                      <c:pt idx="0">
                        <c:v>3</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4-186A-473F-81FD-CD5F8384FC08}"/>
                  </c:ext>
                </c:extLst>
              </c15:ser>
            </c15:filteredPieSeries>
          </c:ext>
        </c:extLst>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a:t>
            </a:r>
            <a:r>
              <a:rPr lang="en-US" baseline="0"/>
              <a:t> of Test Cases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percentStacked"/>
        <c:varyColors val="0"/>
        <c:ser>
          <c:idx val="0"/>
          <c:order val="0"/>
          <c:tx>
            <c:strRef>
              <c:f>'UAT Report'!$O$3</c:f>
              <c:strCache>
                <c:ptCount val="1"/>
                <c:pt idx="0">
                  <c:v>Passed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'UAT Report'!$N$4:$N$8</c:f>
              <c:strCache>
                <c:ptCount val="5"/>
                <c:pt idx="0">
                  <c:v>CEE Legal</c:v>
                </c:pt>
                <c:pt idx="1">
                  <c:v>INDIA Legal</c:v>
                </c:pt>
                <c:pt idx="2">
                  <c:v>India Procurement</c:v>
                </c:pt>
                <c:pt idx="3">
                  <c:v>CEE Procurement</c:v>
                </c:pt>
                <c:pt idx="4">
                  <c:v>FBL Procurement</c:v>
                </c:pt>
              </c:strCache>
            </c:strRef>
          </c:cat>
          <c:val>
            <c:numRef>
              <c:f>'UAT Report'!$O$4:$O$8</c:f>
              <c:numCache>
                <c:formatCode>General</c:formatCode>
                <c:ptCount val="5"/>
                <c:pt idx="0">
                  <c:v>12</c:v>
                </c:pt>
                <c:pt idx="1">
                  <c:v>6</c:v>
                </c:pt>
                <c:pt idx="2">
                  <c:v>3</c:v>
                </c:pt>
                <c:pt idx="3">
                  <c:v>3</c:v>
                </c:pt>
                <c:pt idx="4">
                  <c:v>3</c:v>
                </c:pt>
              </c:numCache>
            </c:numRef>
          </c:val>
          <c:extLst>
            <c:ext xmlns:c16="http://schemas.microsoft.com/office/drawing/2014/chart" uri="{C3380CC4-5D6E-409C-BE32-E72D297353CC}">
              <c16:uniqueId val="{00000000-819B-4699-B5DF-D47B2151CF1A}"/>
            </c:ext>
          </c:extLst>
        </c:ser>
        <c:ser>
          <c:idx val="1"/>
          <c:order val="1"/>
          <c:tx>
            <c:strRef>
              <c:f>'UAT Report'!$P$3</c:f>
              <c:strCache>
                <c:ptCount val="1"/>
                <c:pt idx="0">
                  <c:v>Failed</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'UAT Report'!$N$4:$N$8</c:f>
              <c:strCache>
                <c:ptCount val="5"/>
                <c:pt idx="0">
                  <c:v>CEE Legal</c:v>
                </c:pt>
                <c:pt idx="1">
                  <c:v>INDIA Legal</c:v>
                </c:pt>
                <c:pt idx="2">
                  <c:v>India Procurement</c:v>
                </c:pt>
                <c:pt idx="3">
                  <c:v>CEE Procurement</c:v>
                </c:pt>
                <c:pt idx="4">
                  <c:v>FBL Procurement</c:v>
                </c:pt>
              </c:strCache>
            </c:strRef>
          </c:cat>
          <c:val>
            <c:numRef>
              <c:f>'UAT Report'!$P$4:$P$8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819B-4699-B5DF-D47B2151CF1A}"/>
            </c:ext>
          </c:extLst>
        </c:ser>
        <c:ser>
          <c:idx val="2"/>
          <c:order val="2"/>
          <c:tx>
            <c:strRef>
              <c:f>'UAT Report'!$Q$3</c:f>
              <c:strCache>
                <c:ptCount val="1"/>
                <c:pt idx="0">
                  <c:v>In Progress</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'UAT Report'!$N$4:$N$8</c:f>
              <c:strCache>
                <c:ptCount val="5"/>
                <c:pt idx="0">
                  <c:v>CEE Legal</c:v>
                </c:pt>
                <c:pt idx="1">
                  <c:v>INDIA Legal</c:v>
                </c:pt>
                <c:pt idx="2">
                  <c:v>India Procurement</c:v>
                </c:pt>
                <c:pt idx="3">
                  <c:v>CEE Procurement</c:v>
                </c:pt>
                <c:pt idx="4">
                  <c:v>FBL Procurement</c:v>
                </c:pt>
              </c:strCache>
            </c:strRef>
          </c:cat>
          <c:val>
            <c:numRef>
              <c:f>'UAT Report'!$Q$4:$Q$8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819B-4699-B5DF-D47B2151CF1A}"/>
            </c:ext>
          </c:extLst>
        </c:ser>
        <c:ser>
          <c:idx val="3"/>
          <c:order val="3"/>
          <c:tx>
            <c:strRef>
              <c:f>'UAT Report'!$R$3</c:f>
              <c:strCache>
                <c:ptCount val="1"/>
                <c:pt idx="0">
                  <c:v>Not Started</c:v>
                </c:pt>
              </c:strCache>
            </c:strRef>
          </c:tx>
          <c:spPr>
            <a:solidFill>
              <a:schemeClr val="bg1">
                <a:lumMod val="50000"/>
              </a:schemeClr>
            </a:solidFill>
            <a:ln>
              <a:noFill/>
            </a:ln>
            <a:effectLst>
              <a:outerShdw blurRad="57150" dist="19050" dir="5400000" algn="ctr" rotWithShape="0">
                <a:srgbClr val="000000">
                  <a:alpha val="63000"/>
                </a:srgbClr>
              </a:outerShdw>
            </a:effectLst>
          </c:spPr>
          <c:invertIfNegative val="0"/>
          <c:cat>
            <c:strRef>
              <c:f>'UAT Report'!$N$4:$N$8</c:f>
              <c:strCache>
                <c:ptCount val="5"/>
                <c:pt idx="0">
                  <c:v>CEE Legal</c:v>
                </c:pt>
                <c:pt idx="1">
                  <c:v>INDIA Legal</c:v>
                </c:pt>
                <c:pt idx="2">
                  <c:v>India Procurement</c:v>
                </c:pt>
                <c:pt idx="3">
                  <c:v>CEE Procurement</c:v>
                </c:pt>
                <c:pt idx="4">
                  <c:v>FBL Procurement</c:v>
                </c:pt>
              </c:strCache>
            </c:strRef>
          </c:cat>
          <c:val>
            <c:numRef>
              <c:f>'UAT Report'!$R$4:$R$8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819B-4699-B5DF-D47B2151CF1A}"/>
            </c:ext>
          </c:extLst>
        </c:ser>
        <c:ser>
          <c:idx val="4"/>
          <c:order val="4"/>
          <c:tx>
            <c:strRef>
              <c:f>'UAT Report'!$S$3</c:f>
              <c:strCache>
                <c:ptCount val="1"/>
                <c:pt idx="0">
                  <c:v>Not Applicable</c:v>
                </c:pt>
              </c:strCache>
            </c:strRef>
          </c:tx>
          <c:spPr>
            <a:solidFill>
              <a:srgbClr val="002060"/>
            </a:solidFill>
            <a:ln>
              <a:noFill/>
            </a:ln>
            <a:effectLst>
              <a:outerShdw blurRad="57150" dist="19050" dir="5400000" algn="ctr" rotWithShape="0">
                <a:srgbClr val="000000">
                  <a:alpha val="63000"/>
                </a:srgbClr>
              </a:outerShdw>
            </a:effectLst>
          </c:spPr>
          <c:invertIfNegative val="0"/>
          <c:cat>
            <c:strRef>
              <c:f>'UAT Report'!$N$4:$N$8</c:f>
              <c:strCache>
                <c:ptCount val="5"/>
                <c:pt idx="0">
                  <c:v>CEE Legal</c:v>
                </c:pt>
                <c:pt idx="1">
                  <c:v>INDIA Legal</c:v>
                </c:pt>
                <c:pt idx="2">
                  <c:v>India Procurement</c:v>
                </c:pt>
                <c:pt idx="3">
                  <c:v>CEE Procurement</c:v>
                </c:pt>
                <c:pt idx="4">
                  <c:v>FBL Procurement</c:v>
                </c:pt>
              </c:strCache>
            </c:strRef>
          </c:cat>
          <c:val>
            <c:numRef>
              <c:f>'UAT Report'!$S$4:$S$8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819B-4699-B5DF-D47B2151CF1A}"/>
            </c:ext>
          </c:extLst>
        </c:ser>
        <c:dLbls>
          <c:showLegendKey val="0"/>
          <c:showVal val="0"/>
          <c:showCatName val="0"/>
          <c:showSerName val="0"/>
          <c:showPercent val="0"/>
          <c:showBubbleSize val="0"/>
        </c:dLbls>
        <c:gapWidth val="150"/>
        <c:overlap val="100"/>
        <c:axId val="1593471775"/>
        <c:axId val="1593472255"/>
      </c:barChart>
      <c:catAx>
        <c:axId val="1593471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472255"/>
        <c:crosses val="autoZero"/>
        <c:auto val="1"/>
        <c:lblAlgn val="ctr"/>
        <c:lblOffset val="100"/>
        <c:noMultiLvlLbl val="0"/>
      </c:catAx>
      <c:valAx>
        <c:axId val="159347225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3471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ocumenttasks/documenttask1.xml><?xml version="1.0" encoding="utf-8"?>
<Tasks xmlns="http://schemas.microsoft.com/office/tasks/2019/documenttasks">
  <Task id="{8EF9D1D0-A5B1-4A5B-8B3C-EB98C04C48F6}">
    <Anchor>
      <Comment id="{5EE8B713-C1B5-4569-BCDE-0D3A93097DB0}"/>
    </Anchor>
    <History>
      <Event time="2026-04-16T10:45:50.79" id="{A0C873DD-850F-4E38-9685-BFE0FB51F5E7}">
        <Attribution userId="S::jhoanna.m.montales@accenture.com::a47e3930-a83a-483c-9d89-b8523987798c" userName="Montales, Jhoanna" userProvider="AD"/>
        <Anchor>
          <Comment id="{5EE8B713-C1B5-4569-BCDE-0D3A93097DB0}"/>
        </Anchor>
        <Create/>
      </Event>
      <Event time="2026-04-16T10:45:50.79" id="{7A4B1559-BC18-47A4-BD50-CA4D33D14701}">
        <Attribution userId="S::jhoanna.m.montales@accenture.com::a47e3930-a83a-483c-9d89-b8523987798c" userName="Montales, Jhoanna" userProvider="AD"/>
        <Anchor>
          <Comment id="{5EE8B713-C1B5-4569-BCDE-0D3A93097DB0}"/>
        </Anchor>
        <Assign userId="S::elealeh.tan@accenture.com::0686e0da-081a-4a21-8407-a659cf8e3405" userName="Tan, Elealeh" userProvider="AD"/>
      </Event>
      <Event time="2026-04-16T10:45:50.79" id="{BFE07166-E518-461E-A3A9-917BC68C7F41}">
        <Attribution userId="S::jhoanna.m.montales@accenture.com::a47e3930-a83a-483c-9d89-b8523987798c" userName="Montales, Jhoanna" userProvider="AD"/>
        <Anchor>
          <Comment id="{5EE8B713-C1B5-4569-BCDE-0D3A93097DB0}"/>
        </Anchor>
        <SetTitle title="@Tan, Elealeh bini create you ng inflight na direct creation lang ng 1 request and 1 bsr to request na may added na contract admin. "/>
      </Event>
      <Event time="2026-04-16T10:45:52.63" id="{1B573E44-5A79-4F3F-B5C1-B744A2C07EA2}">
        <Attribution userId="S::jhoanna.m.montales@accenture.com::a47e3930-a83a-483c-9d89-b8523987798c" userName="Montales, Jhoanna" userProvider="AD"/>
        <Progress percentComplete="100"/>
      </Event>
      <Event time="2026-04-16T10:45:58.21" id="{31F5904E-9770-46AC-9EA5-6F4491723E61}">
        <Attribution userId="S::jhoanna.m.montales@accenture.com::a47e3930-a83a-483c-9d89-b8523987798c" userName="Montales, Jhoanna" userProvider="AD"/>
        <Progress percentComplete="0"/>
      </Event>
    </History>
  </Task>
</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chart" Target="../charts/chart28.xml"/><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chart" Target="../charts/chart27.xml"/><Relationship Id="rId17" Type="http://schemas.openxmlformats.org/officeDocument/2006/relationships/chart" Target="../charts/chart32.xml"/><Relationship Id="rId2" Type="http://schemas.openxmlformats.org/officeDocument/2006/relationships/chart" Target="../charts/chart19.xml"/><Relationship Id="rId16" Type="http://schemas.openxmlformats.org/officeDocument/2006/relationships/chart" Target="../charts/chart31.xml"/><Relationship Id="rId1" Type="http://schemas.openxmlformats.org/officeDocument/2006/relationships/image" Target="../media/image2.png"/><Relationship Id="rId6" Type="http://schemas.openxmlformats.org/officeDocument/2006/relationships/chart" Target="../charts/chart23.xml"/><Relationship Id="rId11" Type="http://schemas.openxmlformats.org/officeDocument/2006/relationships/image" Target="../media/image4.png"/><Relationship Id="rId5" Type="http://schemas.openxmlformats.org/officeDocument/2006/relationships/chart" Target="../charts/chart22.xml"/><Relationship Id="rId15" Type="http://schemas.openxmlformats.org/officeDocument/2006/relationships/chart" Target="../charts/chart30.xml"/><Relationship Id="rId10" Type="http://schemas.openxmlformats.org/officeDocument/2006/relationships/image" Target="../media/image3.png"/><Relationship Id="rId4" Type="http://schemas.openxmlformats.org/officeDocument/2006/relationships/chart" Target="../charts/chart21.xml"/><Relationship Id="rId9" Type="http://schemas.openxmlformats.org/officeDocument/2006/relationships/chart" Target="../charts/chart26.xml"/><Relationship Id="rId14" Type="http://schemas.openxmlformats.org/officeDocument/2006/relationships/chart" Target="../charts/chart29.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663949</xdr:colOff>
      <xdr:row>14</xdr:row>
      <xdr:rowOff>44264</xdr:rowOff>
    </xdr:from>
    <xdr:to>
      <xdr:col>1</xdr:col>
      <xdr:colOff>340099</xdr:colOff>
      <xdr:row>30</xdr:row>
      <xdr:rowOff>91889</xdr:rowOff>
    </xdr:to>
    <xdr:grpSp>
      <xdr:nvGrpSpPr>
        <xdr:cNvPr id="65" name="Group 21">
          <a:extLst>
            <a:ext uri="{FF2B5EF4-FFF2-40B4-BE49-F238E27FC236}">
              <a16:creationId xmlns:a16="http://schemas.microsoft.com/office/drawing/2014/main" id="{9677EE46-DD11-463A-9ED4-03060D70BDB8}"/>
            </a:ext>
            <a:ext uri="{147F2762-F138-4A5C-976F-8EAC2B608ADB}">
              <a16:predDERef xmlns:a16="http://schemas.microsoft.com/office/drawing/2014/main" pred="{450DB19B-4432-4ADF-9FE6-EBF371D36821}"/>
            </a:ext>
          </a:extLst>
        </xdr:cNvPr>
        <xdr:cNvGrpSpPr/>
      </xdr:nvGrpSpPr>
      <xdr:grpSpPr>
        <a:xfrm>
          <a:off x="663949" y="3711389"/>
          <a:ext cx="5153025" cy="3095625"/>
          <a:chOff x="0" y="15302345"/>
          <a:chExt cx="10880031" cy="2657668"/>
        </a:xfrm>
        <a:solidFill>
          <a:srgbClr val="002060"/>
        </a:solidFill>
      </xdr:grpSpPr>
      <xdr:graphicFrame macro="">
        <xdr:nvGraphicFramePr>
          <xdr:cNvPr id="66" name="Chart 1">
            <a:extLst>
              <a:ext uri="{FF2B5EF4-FFF2-40B4-BE49-F238E27FC236}">
                <a16:creationId xmlns:a16="http://schemas.microsoft.com/office/drawing/2014/main" id="{7078705A-4846-B1A8-A2C7-A3F835A3D865}"/>
              </a:ext>
            </a:extLst>
          </xdr:cNvPr>
          <xdr:cNvGraphicFramePr>
            <a:graphicFrameLocks/>
          </xdr:cNvGraphicFramePr>
        </xdr:nvGraphicFramePr>
        <xdr:xfrm>
          <a:off x="0" y="15302345"/>
          <a:ext cx="5445287" cy="265766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7" name="Chart 2">
            <a:extLst>
              <a:ext uri="{FF2B5EF4-FFF2-40B4-BE49-F238E27FC236}">
                <a16:creationId xmlns:a16="http://schemas.microsoft.com/office/drawing/2014/main" id="{E1E3C249-F904-A10B-F7FC-84536FF95EE3}"/>
              </a:ext>
            </a:extLst>
          </xdr:cNvPr>
          <xdr:cNvGraphicFramePr>
            <a:graphicFrameLocks/>
          </xdr:cNvGraphicFramePr>
        </xdr:nvGraphicFramePr>
        <xdr:xfrm>
          <a:off x="4957213" y="15305789"/>
          <a:ext cx="5922818" cy="265422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95250</xdr:colOff>
      <xdr:row>0</xdr:row>
      <xdr:rowOff>-1924050</xdr:rowOff>
    </xdr:from>
    <xdr:to>
      <xdr:col>0</xdr:col>
      <xdr:colOff>95250</xdr:colOff>
      <xdr:row>0</xdr:row>
      <xdr:rowOff>-1924050</xdr:rowOff>
    </xdr:to>
    <xdr:grpSp>
      <xdr:nvGrpSpPr>
        <xdr:cNvPr id="179" name="Group 21">
          <a:extLst>
            <a:ext uri="{FF2B5EF4-FFF2-40B4-BE49-F238E27FC236}">
              <a16:creationId xmlns:a16="http://schemas.microsoft.com/office/drawing/2014/main" id="{383E9065-AED0-421E-905B-F6FF712EE27D}"/>
            </a:ext>
            <a:ext uri="{147F2762-F138-4A5C-976F-8EAC2B608ADB}">
              <a16:predDERef xmlns:a16="http://schemas.microsoft.com/office/drawing/2014/main" pred="{8736F8F8-B3ED-4CFD-9F5E-43EE28DB7168}"/>
            </a:ext>
          </a:extLst>
        </xdr:cNvPr>
        <xdr:cNvGrpSpPr/>
      </xdr:nvGrpSpPr>
      <xdr:grpSpPr>
        <a:xfrm>
          <a:off x="95250" y="-1924050"/>
          <a:ext cx="0" cy="0"/>
          <a:chOff x="0" y="15302345"/>
          <a:chExt cx="10880031" cy="2657668"/>
        </a:xfrm>
        <a:solidFill>
          <a:srgbClr val="002060"/>
        </a:solidFill>
      </xdr:grpSpPr>
      <xdr:graphicFrame macro="">
        <xdr:nvGraphicFramePr>
          <xdr:cNvPr id="180" name="Chart 1">
            <a:extLst>
              <a:ext uri="{FF2B5EF4-FFF2-40B4-BE49-F238E27FC236}">
                <a16:creationId xmlns:a16="http://schemas.microsoft.com/office/drawing/2014/main" id="{5AAAB8DF-02C6-9C25-75F8-EFCBA68AAF87}"/>
              </a:ext>
            </a:extLst>
          </xdr:cNvPr>
          <xdr:cNvGraphicFramePr>
            <a:graphicFrameLocks/>
          </xdr:cNvGraphicFramePr>
        </xdr:nvGraphicFramePr>
        <xdr:xfrm>
          <a:off x="0" y="15302345"/>
          <a:ext cx="5445287" cy="265766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81" name="Chart 2">
            <a:extLst>
              <a:ext uri="{FF2B5EF4-FFF2-40B4-BE49-F238E27FC236}">
                <a16:creationId xmlns:a16="http://schemas.microsoft.com/office/drawing/2014/main" id="{40086121-8757-4439-31A9-8D57516DA689}"/>
              </a:ext>
            </a:extLst>
          </xdr:cNvPr>
          <xdr:cNvGraphicFramePr>
            <a:graphicFrameLocks/>
          </xdr:cNvGraphicFramePr>
        </xdr:nvGraphicFramePr>
        <xdr:xfrm>
          <a:off x="4957213" y="15305789"/>
          <a:ext cx="5922818" cy="265422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444500</xdr:colOff>
      <xdr:row>148</xdr:row>
      <xdr:rowOff>116414</xdr:rowOff>
    </xdr:from>
    <xdr:to>
      <xdr:col>1</xdr:col>
      <xdr:colOff>158750</xdr:colOff>
      <xdr:row>160</xdr:row>
      <xdr:rowOff>91404</xdr:rowOff>
    </xdr:to>
    <xdr:grpSp>
      <xdr:nvGrpSpPr>
        <xdr:cNvPr id="23" name="Group 21">
          <a:extLst>
            <a:ext uri="{FF2B5EF4-FFF2-40B4-BE49-F238E27FC236}">
              <a16:creationId xmlns:a16="http://schemas.microsoft.com/office/drawing/2014/main" id="{F1439533-A6F6-4BA2-B463-0F2B576E19D5}"/>
            </a:ext>
            <a:ext uri="{147F2762-F138-4A5C-976F-8EAC2B608ADB}">
              <a16:predDERef xmlns:a16="http://schemas.microsoft.com/office/drawing/2014/main" pred="{9677EE46-DD11-463A-9ED4-03060D70BDB8}"/>
            </a:ext>
          </a:extLst>
        </xdr:cNvPr>
        <xdr:cNvGrpSpPr/>
      </xdr:nvGrpSpPr>
      <xdr:grpSpPr>
        <a:xfrm>
          <a:off x="444500" y="29377214"/>
          <a:ext cx="5191125" cy="2260990"/>
          <a:chOff x="0" y="15302345"/>
          <a:chExt cx="10880030" cy="2657670"/>
        </a:xfrm>
        <a:solidFill>
          <a:srgbClr val="002060"/>
        </a:solidFill>
      </xdr:grpSpPr>
      <xdr:graphicFrame macro="">
        <xdr:nvGraphicFramePr>
          <xdr:cNvPr id="24" name="Chart 1">
            <a:extLst>
              <a:ext uri="{FF2B5EF4-FFF2-40B4-BE49-F238E27FC236}">
                <a16:creationId xmlns:a16="http://schemas.microsoft.com/office/drawing/2014/main" id="{5F83EDD7-4B1A-9236-6B76-F0513A3CDA58}"/>
              </a:ext>
            </a:extLst>
          </xdr:cNvPr>
          <xdr:cNvGraphicFramePr>
            <a:graphicFrameLocks/>
          </xdr:cNvGraphicFramePr>
        </xdr:nvGraphicFramePr>
        <xdr:xfrm>
          <a:off x="0" y="15302345"/>
          <a:ext cx="5445287" cy="265766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5" name="Chart 2">
            <a:extLst>
              <a:ext uri="{FF2B5EF4-FFF2-40B4-BE49-F238E27FC236}">
                <a16:creationId xmlns:a16="http://schemas.microsoft.com/office/drawing/2014/main" id="{DC51A61C-D4B0-68EF-6DC7-11414FA550FA}"/>
              </a:ext>
            </a:extLst>
          </xdr:cNvPr>
          <xdr:cNvGraphicFramePr>
            <a:graphicFrameLocks/>
          </xdr:cNvGraphicFramePr>
        </xdr:nvGraphicFramePr>
        <xdr:xfrm>
          <a:off x="4957212" y="15305791"/>
          <a:ext cx="5922818" cy="265422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299601</xdr:colOff>
      <xdr:row>44</xdr:row>
      <xdr:rowOff>83085</xdr:rowOff>
    </xdr:from>
    <xdr:to>
      <xdr:col>1</xdr:col>
      <xdr:colOff>415021</xdr:colOff>
      <xdr:row>60</xdr:row>
      <xdr:rowOff>130711</xdr:rowOff>
    </xdr:to>
    <xdr:grpSp>
      <xdr:nvGrpSpPr>
        <xdr:cNvPr id="137" name="Group 8">
          <a:extLst>
            <a:ext uri="{FF2B5EF4-FFF2-40B4-BE49-F238E27FC236}">
              <a16:creationId xmlns:a16="http://schemas.microsoft.com/office/drawing/2014/main" id="{F52307CC-D2C7-F5E4-050D-88EF2F58831C}"/>
            </a:ext>
          </a:extLst>
        </xdr:cNvPr>
        <xdr:cNvGrpSpPr/>
      </xdr:nvGrpSpPr>
      <xdr:grpSpPr>
        <a:xfrm>
          <a:off x="299601" y="9465210"/>
          <a:ext cx="5592295" cy="3095626"/>
          <a:chOff x="358353" y="8519834"/>
          <a:chExt cx="10416027" cy="3095626"/>
        </a:xfrm>
      </xdr:grpSpPr>
      <xdr:graphicFrame macro="">
        <xdr:nvGraphicFramePr>
          <xdr:cNvPr id="138" name="Chart 2">
            <a:extLst>
              <a:ext uri="{FF2B5EF4-FFF2-40B4-BE49-F238E27FC236}">
                <a16:creationId xmlns:a16="http://schemas.microsoft.com/office/drawing/2014/main" id="{CC3B9235-0CCA-D647-8DAF-8DF37B9142E7}"/>
              </a:ext>
            </a:extLst>
          </xdr:cNvPr>
          <xdr:cNvGraphicFramePr>
            <a:graphicFrameLocks/>
          </xdr:cNvGraphicFramePr>
        </xdr:nvGraphicFramePr>
        <xdr:xfrm>
          <a:off x="5344755" y="8523846"/>
          <a:ext cx="5429625" cy="3091614"/>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9" name="Chart 1">
            <a:extLst>
              <a:ext uri="{FF2B5EF4-FFF2-40B4-BE49-F238E27FC236}">
                <a16:creationId xmlns:a16="http://schemas.microsoft.com/office/drawing/2014/main" id="{FE839DC9-B0F8-49EE-97B4-798EC442640C}"/>
              </a:ext>
              <a:ext uri="{147F2762-F138-4A5C-976F-8EAC2B608ADB}">
                <a16:predDERef xmlns:a16="http://schemas.microsoft.com/office/drawing/2014/main" pred="{DBCA6DD1-56B6-4987-BC89-E3A7B942D91A}"/>
              </a:ext>
            </a:extLst>
          </xdr:cNvPr>
          <xdr:cNvGraphicFramePr>
            <a:graphicFrameLocks/>
          </xdr:cNvGraphicFramePr>
        </xdr:nvGraphicFramePr>
        <xdr:xfrm>
          <a:off x="358353" y="8519834"/>
          <a:ext cx="4993212" cy="309562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343959</xdr:colOff>
      <xdr:row>73</xdr:row>
      <xdr:rowOff>4231</xdr:rowOff>
    </xdr:from>
    <xdr:to>
      <xdr:col>1</xdr:col>
      <xdr:colOff>772584</xdr:colOff>
      <xdr:row>91</xdr:row>
      <xdr:rowOff>61383</xdr:rowOff>
    </xdr:to>
    <xdr:grpSp>
      <xdr:nvGrpSpPr>
        <xdr:cNvPr id="71" name="Group 23">
          <a:extLst>
            <a:ext uri="{FF2B5EF4-FFF2-40B4-BE49-F238E27FC236}">
              <a16:creationId xmlns:a16="http://schemas.microsoft.com/office/drawing/2014/main" id="{DB2BBEDF-0F0C-8D21-B8CA-EEAB1B98A425}"/>
            </a:ext>
            <a:ext uri="{147F2762-F138-4A5C-976F-8EAC2B608ADB}">
              <a16:predDERef xmlns:a16="http://schemas.microsoft.com/office/drawing/2014/main" pred="{F52307CC-D2C7-F5E4-050D-88EF2F58831C}"/>
            </a:ext>
          </a:extLst>
        </xdr:cNvPr>
        <xdr:cNvGrpSpPr/>
      </xdr:nvGrpSpPr>
      <xdr:grpSpPr>
        <a:xfrm>
          <a:off x="343959" y="14958481"/>
          <a:ext cx="5905500" cy="3486152"/>
          <a:chOff x="323850" y="14477998"/>
          <a:chExt cx="10725150" cy="3486152"/>
        </a:xfrm>
      </xdr:grpSpPr>
      <xdr:graphicFrame macro="">
        <xdr:nvGraphicFramePr>
          <xdr:cNvPr id="72" name="Chart 2">
            <a:extLst>
              <a:ext uri="{FF2B5EF4-FFF2-40B4-BE49-F238E27FC236}">
                <a16:creationId xmlns:a16="http://schemas.microsoft.com/office/drawing/2014/main" id="{B10006E1-A3B8-05D4-903A-F83C83711ABD}"/>
              </a:ext>
              <a:ext uri="{147F2762-F138-4A5C-976F-8EAC2B608ADB}">
                <a16:predDERef xmlns:a16="http://schemas.microsoft.com/office/drawing/2014/main" pred="{F52307CC-D2C7-F5E4-050D-88EF2F58831C}"/>
              </a:ext>
            </a:extLst>
          </xdr:cNvPr>
          <xdr:cNvGraphicFramePr>
            <a:graphicFrameLocks/>
          </xdr:cNvGraphicFramePr>
        </xdr:nvGraphicFramePr>
        <xdr:xfrm>
          <a:off x="4924426" y="14477998"/>
          <a:ext cx="6124574" cy="348615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3" name="Chart 1">
            <a:extLst>
              <a:ext uri="{FF2B5EF4-FFF2-40B4-BE49-F238E27FC236}">
                <a16:creationId xmlns:a16="http://schemas.microsoft.com/office/drawing/2014/main" id="{834D3011-7AB2-F218-EDE8-993EA77E7C08}"/>
              </a:ext>
              <a:ext uri="{147F2762-F138-4A5C-976F-8EAC2B608ADB}">
                <a16:predDERef xmlns:a16="http://schemas.microsoft.com/office/drawing/2014/main" pred="{B10006E1-A3B8-05D4-903A-F83C83711ABD}"/>
              </a:ext>
            </a:extLst>
          </xdr:cNvPr>
          <xdr:cNvGraphicFramePr>
            <a:graphicFrameLocks/>
          </xdr:cNvGraphicFramePr>
        </xdr:nvGraphicFramePr>
        <xdr:xfrm>
          <a:off x="323850" y="14478000"/>
          <a:ext cx="4581525" cy="348615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xdr:col>
      <xdr:colOff>647700</xdr:colOff>
      <xdr:row>176</xdr:row>
      <xdr:rowOff>200025</xdr:rowOff>
    </xdr:from>
    <xdr:to>
      <xdr:col>9</xdr:col>
      <xdr:colOff>1104900</xdr:colOff>
      <xdr:row>185</xdr:row>
      <xdr:rowOff>57150</xdr:rowOff>
    </xdr:to>
    <xdr:grpSp>
      <xdr:nvGrpSpPr>
        <xdr:cNvPr id="11" name="Group 21">
          <a:extLst>
            <a:ext uri="{FF2B5EF4-FFF2-40B4-BE49-F238E27FC236}">
              <a16:creationId xmlns:a16="http://schemas.microsoft.com/office/drawing/2014/main" id="{88A7921B-4DC1-4031-AD19-3745C0032234}"/>
            </a:ext>
            <a:ext uri="{147F2762-F138-4A5C-976F-8EAC2B608ADB}">
              <a16:predDERef xmlns:a16="http://schemas.microsoft.com/office/drawing/2014/main" pred="{DB2BBEDF-0F0C-8D21-B8CA-EEAB1B98A425}"/>
            </a:ext>
          </a:extLst>
        </xdr:cNvPr>
        <xdr:cNvGrpSpPr/>
      </xdr:nvGrpSpPr>
      <xdr:grpSpPr>
        <a:xfrm>
          <a:off x="7334250" y="36585525"/>
          <a:ext cx="8229600" cy="2257425"/>
          <a:chOff x="0" y="15302343"/>
          <a:chExt cx="10880030" cy="2657671"/>
        </a:xfrm>
        <a:solidFill>
          <a:schemeClr val="accent6"/>
        </a:solidFill>
      </xdr:grpSpPr>
      <xdr:graphicFrame macro="">
        <xdr:nvGraphicFramePr>
          <xdr:cNvPr id="12" name="Chart 1">
            <a:extLst>
              <a:ext uri="{FF2B5EF4-FFF2-40B4-BE49-F238E27FC236}">
                <a16:creationId xmlns:a16="http://schemas.microsoft.com/office/drawing/2014/main" id="{02102B0C-DB3A-A758-4CF6-CF2B8613F35F}"/>
              </a:ext>
            </a:extLst>
          </xdr:cNvPr>
          <xdr:cNvGraphicFramePr>
            <a:graphicFrameLocks/>
          </xdr:cNvGraphicFramePr>
        </xdr:nvGraphicFramePr>
        <xdr:xfrm>
          <a:off x="0" y="15302343"/>
          <a:ext cx="5445287" cy="2657666"/>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3" name="Chart 2">
            <a:extLst>
              <a:ext uri="{FF2B5EF4-FFF2-40B4-BE49-F238E27FC236}">
                <a16:creationId xmlns:a16="http://schemas.microsoft.com/office/drawing/2014/main" id="{E840390D-9324-ED05-95B2-4AE6EDD62CA7}"/>
              </a:ext>
            </a:extLst>
          </xdr:cNvPr>
          <xdr:cNvGraphicFramePr>
            <a:graphicFrameLocks/>
          </xdr:cNvGraphicFramePr>
        </xdr:nvGraphicFramePr>
        <xdr:xfrm>
          <a:off x="4957212" y="15305790"/>
          <a:ext cx="5922818" cy="265422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419100</xdr:colOff>
      <xdr:row>114</xdr:row>
      <xdr:rowOff>175932</xdr:rowOff>
    </xdr:from>
    <xdr:to>
      <xdr:col>1</xdr:col>
      <xdr:colOff>716616</xdr:colOff>
      <xdr:row>132</xdr:row>
      <xdr:rowOff>159124</xdr:rowOff>
    </xdr:to>
    <xdr:grpSp>
      <xdr:nvGrpSpPr>
        <xdr:cNvPr id="32" name="Group 21">
          <a:extLst>
            <a:ext uri="{FF2B5EF4-FFF2-40B4-BE49-F238E27FC236}">
              <a16:creationId xmlns:a16="http://schemas.microsoft.com/office/drawing/2014/main" id="{FB1E4FB1-E5F9-4B06-9496-B1BCEA9A4892}"/>
            </a:ext>
            <a:ext uri="{147F2762-F138-4A5C-976F-8EAC2B608ADB}">
              <a16:predDERef xmlns:a16="http://schemas.microsoft.com/office/drawing/2014/main" pred="{88A7921B-4DC1-4031-AD19-3745C0032234}"/>
            </a:ext>
          </a:extLst>
        </xdr:cNvPr>
        <xdr:cNvGrpSpPr/>
      </xdr:nvGrpSpPr>
      <xdr:grpSpPr>
        <a:xfrm>
          <a:off x="419100" y="22635882"/>
          <a:ext cx="5774391" cy="3412192"/>
          <a:chOff x="425072" y="15447491"/>
          <a:chExt cx="11841566" cy="2331608"/>
        </a:xfrm>
        <a:solidFill>
          <a:srgbClr val="002060"/>
        </a:solidFill>
      </xdr:grpSpPr>
      <xdr:graphicFrame macro="">
        <xdr:nvGraphicFramePr>
          <xdr:cNvPr id="33" name="Chart 1">
            <a:extLst>
              <a:ext uri="{FF2B5EF4-FFF2-40B4-BE49-F238E27FC236}">
                <a16:creationId xmlns:a16="http://schemas.microsoft.com/office/drawing/2014/main" id="{70513DDF-A3A3-25F4-0EBE-DCE3FDA64AEA}"/>
              </a:ext>
            </a:extLst>
          </xdr:cNvPr>
          <xdr:cNvGraphicFramePr>
            <a:graphicFrameLocks/>
          </xdr:cNvGraphicFramePr>
        </xdr:nvGraphicFramePr>
        <xdr:xfrm>
          <a:off x="425072" y="15447491"/>
          <a:ext cx="4873647" cy="2331608"/>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4" name="Chart 2">
            <a:extLst>
              <a:ext uri="{FF2B5EF4-FFF2-40B4-BE49-F238E27FC236}">
                <a16:creationId xmlns:a16="http://schemas.microsoft.com/office/drawing/2014/main" id="{78C79D00-87C4-2191-407F-7BF6D354D519}"/>
              </a:ext>
            </a:extLst>
          </xdr:cNvPr>
          <xdr:cNvGraphicFramePr>
            <a:graphicFrameLocks/>
          </xdr:cNvGraphicFramePr>
        </xdr:nvGraphicFramePr>
        <xdr:xfrm>
          <a:off x="5314094" y="15447672"/>
          <a:ext cx="6952544" cy="233142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xdr:col>
      <xdr:colOff>285750</xdr:colOff>
      <xdr:row>207</xdr:row>
      <xdr:rowOff>19050</xdr:rowOff>
    </xdr:from>
    <xdr:to>
      <xdr:col>9</xdr:col>
      <xdr:colOff>1201830</xdr:colOff>
      <xdr:row>221</xdr:row>
      <xdr:rowOff>101671</xdr:rowOff>
    </xdr:to>
    <xdr:grpSp>
      <xdr:nvGrpSpPr>
        <xdr:cNvPr id="14" name="Group 21">
          <a:extLst>
            <a:ext uri="{FF2B5EF4-FFF2-40B4-BE49-F238E27FC236}">
              <a16:creationId xmlns:a16="http://schemas.microsoft.com/office/drawing/2014/main" id="{0EA5DE39-9A76-4D3C-9F07-BACDD8F022E3}"/>
            </a:ext>
            <a:ext uri="{147F2762-F138-4A5C-976F-8EAC2B608ADB}">
              <a16:predDERef xmlns:a16="http://schemas.microsoft.com/office/drawing/2014/main" pred="{DB2BBEDF-0F0C-8D21-B8CA-EEAB1B98A425}"/>
            </a:ext>
          </a:extLst>
        </xdr:cNvPr>
        <xdr:cNvGrpSpPr/>
      </xdr:nvGrpSpPr>
      <xdr:grpSpPr>
        <a:xfrm>
          <a:off x="6972300" y="44091225"/>
          <a:ext cx="8688480" cy="2749621"/>
          <a:chOff x="0" y="15297709"/>
          <a:chExt cx="11349770" cy="2662301"/>
        </a:xfrm>
        <a:solidFill>
          <a:schemeClr val="accent6"/>
        </a:solidFill>
      </xdr:grpSpPr>
      <xdr:graphicFrame macro="">
        <xdr:nvGraphicFramePr>
          <xdr:cNvPr id="15" name="Chart 1">
            <a:extLst>
              <a:ext uri="{FF2B5EF4-FFF2-40B4-BE49-F238E27FC236}">
                <a16:creationId xmlns:a16="http://schemas.microsoft.com/office/drawing/2014/main" id="{793116B2-391C-1458-049C-53B44F9DD9FC}"/>
              </a:ext>
            </a:extLst>
          </xdr:cNvPr>
          <xdr:cNvGraphicFramePr>
            <a:graphicFrameLocks/>
          </xdr:cNvGraphicFramePr>
        </xdr:nvGraphicFramePr>
        <xdr:xfrm>
          <a:off x="0" y="15302344"/>
          <a:ext cx="5445287" cy="2657666"/>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16" name="Chart 2">
            <a:extLst>
              <a:ext uri="{FF2B5EF4-FFF2-40B4-BE49-F238E27FC236}">
                <a16:creationId xmlns:a16="http://schemas.microsoft.com/office/drawing/2014/main" id="{8707481F-DC38-B996-B301-605FAE654154}"/>
              </a:ext>
            </a:extLst>
          </xdr:cNvPr>
          <xdr:cNvGraphicFramePr>
            <a:graphicFrameLocks/>
          </xdr:cNvGraphicFramePr>
        </xdr:nvGraphicFramePr>
        <xdr:xfrm>
          <a:off x="5382225" y="15297709"/>
          <a:ext cx="5967545" cy="2661493"/>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11</xdr:row>
      <xdr:rowOff>174549</xdr:rowOff>
    </xdr:from>
    <xdr:to>
      <xdr:col>16</xdr:col>
      <xdr:colOff>344580</xdr:colOff>
      <xdr:row>31</xdr:row>
      <xdr:rowOff>57143</xdr:rowOff>
    </xdr:to>
    <xdr:grpSp>
      <xdr:nvGrpSpPr>
        <xdr:cNvPr id="2" name="Group 21">
          <a:extLst>
            <a:ext uri="{FF2B5EF4-FFF2-40B4-BE49-F238E27FC236}">
              <a16:creationId xmlns:a16="http://schemas.microsoft.com/office/drawing/2014/main" id="{D58EAD50-63D0-484E-908D-EAB74E85B669}"/>
            </a:ext>
            <a:ext uri="{147F2762-F138-4A5C-976F-8EAC2B608ADB}">
              <a16:predDERef xmlns:a16="http://schemas.microsoft.com/office/drawing/2014/main" pred="{DB2BBEDF-0F0C-8D21-B8CA-EEAB1B98A425}"/>
            </a:ext>
          </a:extLst>
        </xdr:cNvPr>
        <xdr:cNvGrpSpPr/>
      </xdr:nvGrpSpPr>
      <xdr:grpSpPr>
        <a:xfrm>
          <a:off x="3048000" y="4251249"/>
          <a:ext cx="10336305" cy="3692594"/>
          <a:chOff x="0" y="15297709"/>
          <a:chExt cx="11349770" cy="2662299"/>
        </a:xfrm>
        <a:solidFill>
          <a:schemeClr val="accent6"/>
        </a:solidFill>
      </xdr:grpSpPr>
      <xdr:graphicFrame macro="">
        <xdr:nvGraphicFramePr>
          <xdr:cNvPr id="3" name="Chart 1">
            <a:extLst>
              <a:ext uri="{FF2B5EF4-FFF2-40B4-BE49-F238E27FC236}">
                <a16:creationId xmlns:a16="http://schemas.microsoft.com/office/drawing/2014/main" id="{985C6E41-1729-0CCF-21F4-E6B0F9C22D42}"/>
              </a:ext>
            </a:extLst>
          </xdr:cNvPr>
          <xdr:cNvGraphicFramePr>
            <a:graphicFrameLocks/>
          </xdr:cNvGraphicFramePr>
        </xdr:nvGraphicFramePr>
        <xdr:xfrm>
          <a:off x="0" y="15302342"/>
          <a:ext cx="5445287" cy="265766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2">
            <a:extLst>
              <a:ext uri="{FF2B5EF4-FFF2-40B4-BE49-F238E27FC236}">
                <a16:creationId xmlns:a16="http://schemas.microsoft.com/office/drawing/2014/main" id="{8868D925-157D-ECCE-608D-DE0F67B11517}"/>
              </a:ext>
            </a:extLst>
          </xdr:cNvPr>
          <xdr:cNvGraphicFramePr>
            <a:graphicFrameLocks/>
          </xdr:cNvGraphicFramePr>
        </xdr:nvGraphicFramePr>
        <xdr:xfrm>
          <a:off x="5382225" y="15297709"/>
          <a:ext cx="5967545" cy="266149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304800</xdr:colOff>
      <xdr:row>111</xdr:row>
      <xdr:rowOff>19050</xdr:rowOff>
    </xdr:from>
    <xdr:to>
      <xdr:col>11</xdr:col>
      <xdr:colOff>332317</xdr:colOff>
      <xdr:row>129</xdr:row>
      <xdr:rowOff>123825</xdr:rowOff>
    </xdr:to>
    <xdr:pic>
      <xdr:nvPicPr>
        <xdr:cNvPr id="9" name="Picture 2">
          <a:extLst>
            <a:ext uri="{FF2B5EF4-FFF2-40B4-BE49-F238E27FC236}">
              <a16:creationId xmlns:a16="http://schemas.microsoft.com/office/drawing/2014/main" id="{23AD359D-58C2-4650-A47D-B65E7F000436}"/>
            </a:ext>
            <a:ext uri="{147F2762-F138-4A5C-976F-8EAC2B608ADB}">
              <a16:predDERef xmlns:a16="http://schemas.microsoft.com/office/drawing/2014/main" pred="{764232F7-85B0-437A-96C1-68A277A422D2}"/>
            </a:ext>
          </a:extLst>
        </xdr:cNvPr>
        <xdr:cNvPicPr>
          <a:picLocks noChangeAspect="1"/>
        </xdr:cNvPicPr>
      </xdr:nvPicPr>
      <xdr:blipFill>
        <a:blip xmlns:r="http://schemas.openxmlformats.org/officeDocument/2006/relationships" r:embed="rId1"/>
        <a:stretch>
          <a:fillRect/>
        </a:stretch>
      </xdr:blipFill>
      <xdr:spPr>
        <a:xfrm>
          <a:off x="914400" y="19097625"/>
          <a:ext cx="10201275" cy="3533775"/>
        </a:xfrm>
        <a:prstGeom prst="rect">
          <a:avLst/>
        </a:prstGeom>
      </xdr:spPr>
    </xdr:pic>
    <xdr:clientData/>
  </xdr:twoCellAnchor>
  <xdr:twoCellAnchor>
    <xdr:from>
      <xdr:col>10</xdr:col>
      <xdr:colOff>783166</xdr:colOff>
      <xdr:row>95</xdr:row>
      <xdr:rowOff>120776</xdr:rowOff>
    </xdr:from>
    <xdr:to>
      <xdr:col>23</xdr:col>
      <xdr:colOff>290606</xdr:colOff>
      <xdr:row>110</xdr:row>
      <xdr:rowOff>138559</xdr:rowOff>
    </xdr:to>
    <xdr:grpSp>
      <xdr:nvGrpSpPr>
        <xdr:cNvPr id="50" name="Group 1">
          <a:extLst>
            <a:ext uri="{FF2B5EF4-FFF2-40B4-BE49-F238E27FC236}">
              <a16:creationId xmlns:a16="http://schemas.microsoft.com/office/drawing/2014/main" id="{395D0903-1F0C-4A2A-ACC8-B4BE21E1DD44}"/>
            </a:ext>
            <a:ext uri="{147F2762-F138-4A5C-976F-8EAC2B608ADB}">
              <a16:predDERef xmlns:a16="http://schemas.microsoft.com/office/drawing/2014/main" pred="{23AD359D-58C2-4650-A47D-B65E7F000436}"/>
            </a:ext>
          </a:extLst>
        </xdr:cNvPr>
        <xdr:cNvGrpSpPr/>
      </xdr:nvGrpSpPr>
      <xdr:grpSpPr>
        <a:xfrm>
          <a:off x="10222441" y="14389226"/>
          <a:ext cx="12623365" cy="2875283"/>
          <a:chOff x="198120" y="3539490"/>
          <a:chExt cx="8914935" cy="2750400"/>
        </a:xfrm>
      </xdr:grpSpPr>
      <xdr:graphicFrame macro="">
        <xdr:nvGraphicFramePr>
          <xdr:cNvPr id="51" name="Chart 2">
            <a:extLst>
              <a:ext uri="{FF2B5EF4-FFF2-40B4-BE49-F238E27FC236}">
                <a16:creationId xmlns:a16="http://schemas.microsoft.com/office/drawing/2014/main" id="{C13D5E05-0BAD-3695-8201-B1E90440D432}"/>
              </a:ext>
            </a:extLst>
          </xdr:cNvPr>
          <xdr:cNvGraphicFramePr>
            <a:graphicFrameLocks/>
          </xdr:cNvGraphicFramePr>
        </xdr:nvGraphicFramePr>
        <xdr:xfrm>
          <a:off x="198120" y="3543301"/>
          <a:ext cx="436492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2" name="Chart 3">
            <a:extLst>
              <a:ext uri="{FF2B5EF4-FFF2-40B4-BE49-F238E27FC236}">
                <a16:creationId xmlns:a16="http://schemas.microsoft.com/office/drawing/2014/main" id="{6CAAA409-901B-ED86-7890-29D51AC356CB}"/>
              </a:ext>
            </a:extLst>
          </xdr:cNvPr>
          <xdr:cNvGraphicFramePr/>
        </xdr:nvGraphicFramePr>
        <xdr:xfrm>
          <a:off x="4541055" y="3539490"/>
          <a:ext cx="4572000" cy="27504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1301783</xdr:colOff>
      <xdr:row>111</xdr:row>
      <xdr:rowOff>6236</xdr:rowOff>
    </xdr:from>
    <xdr:to>
      <xdr:col>7</xdr:col>
      <xdr:colOff>15908</xdr:colOff>
      <xdr:row>128</xdr:row>
      <xdr:rowOff>187211</xdr:rowOff>
    </xdr:to>
    <xdr:sp macro="" textlink="">
      <xdr:nvSpPr>
        <xdr:cNvPr id="13" name="Rectangle 15">
          <a:extLst>
            <a:ext uri="{FF2B5EF4-FFF2-40B4-BE49-F238E27FC236}">
              <a16:creationId xmlns:a16="http://schemas.microsoft.com/office/drawing/2014/main" id="{971E51DE-108E-44A6-A8FE-76D2A69EB4D7}"/>
            </a:ext>
            <a:ext uri="{147F2762-F138-4A5C-976F-8EAC2B608ADB}">
              <a16:predDERef xmlns:a16="http://schemas.microsoft.com/office/drawing/2014/main" pred="{7A76FB69-0621-4B86-87B7-01E5CE692525}"/>
            </a:ext>
          </a:extLst>
        </xdr:cNvPr>
        <xdr:cNvSpPr/>
      </xdr:nvSpPr>
      <xdr:spPr>
        <a:xfrm>
          <a:off x="3790950" y="19084811"/>
          <a:ext cx="1597058" cy="3419475"/>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1</xdr:col>
      <xdr:colOff>0</xdr:colOff>
      <xdr:row>95</xdr:row>
      <xdr:rowOff>0</xdr:rowOff>
    </xdr:from>
    <xdr:to>
      <xdr:col>10</xdr:col>
      <xdr:colOff>107577</xdr:colOff>
      <xdr:row>110</xdr:row>
      <xdr:rowOff>7200</xdr:rowOff>
    </xdr:to>
    <xdr:grpSp>
      <xdr:nvGrpSpPr>
        <xdr:cNvPr id="56" name="Group 1">
          <a:extLst>
            <a:ext uri="{FF2B5EF4-FFF2-40B4-BE49-F238E27FC236}">
              <a16:creationId xmlns:a16="http://schemas.microsoft.com/office/drawing/2014/main" id="{42332B1E-DC37-4669-9170-12313FD9227C}"/>
            </a:ext>
            <a:ext uri="{147F2762-F138-4A5C-976F-8EAC2B608ADB}">
              <a16:predDERef xmlns:a16="http://schemas.microsoft.com/office/drawing/2014/main" pred="{971E51DE-108E-44A6-A8FE-76D2A69EB4D7}"/>
            </a:ext>
          </a:extLst>
        </xdr:cNvPr>
        <xdr:cNvGrpSpPr/>
      </xdr:nvGrpSpPr>
      <xdr:grpSpPr>
        <a:xfrm>
          <a:off x="609600" y="14268450"/>
          <a:ext cx="8937252" cy="2864700"/>
          <a:chOff x="198120" y="3539490"/>
          <a:chExt cx="8914935" cy="2750400"/>
        </a:xfrm>
      </xdr:grpSpPr>
      <xdr:graphicFrame macro="">
        <xdr:nvGraphicFramePr>
          <xdr:cNvPr id="57" name="Chart 2">
            <a:extLst>
              <a:ext uri="{FF2B5EF4-FFF2-40B4-BE49-F238E27FC236}">
                <a16:creationId xmlns:a16="http://schemas.microsoft.com/office/drawing/2014/main" id="{EE6C7C20-516D-CF7C-6453-E6E59C0535B8}"/>
              </a:ext>
            </a:extLst>
          </xdr:cNvPr>
          <xdr:cNvGraphicFramePr>
            <a:graphicFrameLocks/>
          </xdr:cNvGraphicFramePr>
        </xdr:nvGraphicFramePr>
        <xdr:xfrm>
          <a:off x="198120" y="3543300"/>
          <a:ext cx="4364925"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58" name="Chart 3">
            <a:extLst>
              <a:ext uri="{FF2B5EF4-FFF2-40B4-BE49-F238E27FC236}">
                <a16:creationId xmlns:a16="http://schemas.microsoft.com/office/drawing/2014/main" id="{AF9564AF-72A0-676C-A5C7-18ACF55FB385}"/>
              </a:ext>
            </a:extLst>
          </xdr:cNvPr>
          <xdr:cNvGraphicFramePr/>
        </xdr:nvGraphicFramePr>
        <xdr:xfrm>
          <a:off x="4541055" y="3539490"/>
          <a:ext cx="4572000" cy="27504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390525</xdr:colOff>
      <xdr:row>153</xdr:row>
      <xdr:rowOff>171450</xdr:rowOff>
    </xdr:from>
    <xdr:to>
      <xdr:col>10</xdr:col>
      <xdr:colOff>498102</xdr:colOff>
      <xdr:row>168</xdr:row>
      <xdr:rowOff>178650</xdr:rowOff>
    </xdr:to>
    <xdr:grpSp>
      <xdr:nvGrpSpPr>
        <xdr:cNvPr id="62" name="Group 1">
          <a:extLst>
            <a:ext uri="{FF2B5EF4-FFF2-40B4-BE49-F238E27FC236}">
              <a16:creationId xmlns:a16="http://schemas.microsoft.com/office/drawing/2014/main" id="{B867AA8E-7760-4BD7-9B97-3FAC0FA18129}"/>
            </a:ext>
            <a:ext uri="{147F2762-F138-4A5C-976F-8EAC2B608ADB}">
              <a16:predDERef xmlns:a16="http://schemas.microsoft.com/office/drawing/2014/main" pred="{42332B1E-DC37-4669-9170-12313FD9227C}"/>
            </a:ext>
          </a:extLst>
        </xdr:cNvPr>
        <xdr:cNvGrpSpPr/>
      </xdr:nvGrpSpPr>
      <xdr:grpSpPr>
        <a:xfrm>
          <a:off x="1000125" y="27660600"/>
          <a:ext cx="8937252" cy="2864700"/>
          <a:chOff x="198120" y="3539490"/>
          <a:chExt cx="8914935" cy="2750400"/>
        </a:xfrm>
      </xdr:grpSpPr>
      <xdr:graphicFrame macro="">
        <xdr:nvGraphicFramePr>
          <xdr:cNvPr id="63" name="Chart 2">
            <a:extLst>
              <a:ext uri="{FF2B5EF4-FFF2-40B4-BE49-F238E27FC236}">
                <a16:creationId xmlns:a16="http://schemas.microsoft.com/office/drawing/2014/main" id="{60398362-F6A5-C77F-F4F9-75FE9464F527}"/>
              </a:ext>
            </a:extLst>
          </xdr:cNvPr>
          <xdr:cNvGraphicFramePr>
            <a:graphicFrameLocks/>
          </xdr:cNvGraphicFramePr>
        </xdr:nvGraphicFramePr>
        <xdr:xfrm>
          <a:off x="198120" y="3543300"/>
          <a:ext cx="4364925" cy="27432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4" name="Chart 3">
            <a:extLst>
              <a:ext uri="{FF2B5EF4-FFF2-40B4-BE49-F238E27FC236}">
                <a16:creationId xmlns:a16="http://schemas.microsoft.com/office/drawing/2014/main" id="{374A53B3-B4AA-49C4-2723-294DF82FF483}"/>
              </a:ext>
            </a:extLst>
          </xdr:cNvPr>
          <xdr:cNvGraphicFramePr/>
        </xdr:nvGraphicFramePr>
        <xdr:xfrm>
          <a:off x="4541055" y="3539490"/>
          <a:ext cx="4572000" cy="27504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44823</xdr:colOff>
      <xdr:row>153</xdr:row>
      <xdr:rowOff>112059</xdr:rowOff>
    </xdr:from>
    <xdr:to>
      <xdr:col>20</xdr:col>
      <xdr:colOff>142252</xdr:colOff>
      <xdr:row>168</xdr:row>
      <xdr:rowOff>11206</xdr:rowOff>
    </xdr:to>
    <xdr:grpSp>
      <xdr:nvGrpSpPr>
        <xdr:cNvPr id="68" name="Group 1">
          <a:extLst>
            <a:ext uri="{FF2B5EF4-FFF2-40B4-BE49-F238E27FC236}">
              <a16:creationId xmlns:a16="http://schemas.microsoft.com/office/drawing/2014/main" id="{50E3F421-E9E0-45D1-A435-D311A14E050B}"/>
            </a:ext>
            <a:ext uri="{147F2762-F138-4A5C-976F-8EAC2B608ADB}">
              <a16:predDERef xmlns:a16="http://schemas.microsoft.com/office/drawing/2014/main" pred="{B867AA8E-7760-4BD7-9B97-3FAC0FA18129}"/>
            </a:ext>
          </a:extLst>
        </xdr:cNvPr>
        <xdr:cNvGrpSpPr/>
      </xdr:nvGrpSpPr>
      <xdr:grpSpPr>
        <a:xfrm>
          <a:off x="10312773" y="27601209"/>
          <a:ext cx="10117729" cy="2756647"/>
          <a:chOff x="-1650321" y="3461227"/>
          <a:chExt cx="8923261" cy="2750400"/>
        </a:xfrm>
      </xdr:grpSpPr>
      <xdr:graphicFrame macro="">
        <xdr:nvGraphicFramePr>
          <xdr:cNvPr id="69" name="Chart 2">
            <a:extLst>
              <a:ext uri="{FF2B5EF4-FFF2-40B4-BE49-F238E27FC236}">
                <a16:creationId xmlns:a16="http://schemas.microsoft.com/office/drawing/2014/main" id="{7A501BE4-ACA4-B51F-FED6-BEB425130AD9}"/>
              </a:ext>
            </a:extLst>
          </xdr:cNvPr>
          <xdr:cNvGraphicFramePr>
            <a:graphicFrameLocks/>
          </xdr:cNvGraphicFramePr>
        </xdr:nvGraphicFramePr>
        <xdr:xfrm>
          <a:off x="-1650321" y="3465038"/>
          <a:ext cx="4364925" cy="274320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70" name="Chart 3">
            <a:extLst>
              <a:ext uri="{FF2B5EF4-FFF2-40B4-BE49-F238E27FC236}">
                <a16:creationId xmlns:a16="http://schemas.microsoft.com/office/drawing/2014/main" id="{4556DE12-EA41-0CAC-0DDF-C1B0379F5A26}"/>
              </a:ext>
            </a:extLst>
          </xdr:cNvPr>
          <xdr:cNvGraphicFramePr/>
        </xdr:nvGraphicFramePr>
        <xdr:xfrm>
          <a:off x="2700940" y="3461227"/>
          <a:ext cx="4572000" cy="275040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1</xdr:col>
      <xdr:colOff>333375</xdr:colOff>
      <xdr:row>172</xdr:row>
      <xdr:rowOff>0</xdr:rowOff>
    </xdr:from>
    <xdr:to>
      <xdr:col>9</xdr:col>
      <xdr:colOff>733611</xdr:colOff>
      <xdr:row>183</xdr:row>
      <xdr:rowOff>143187</xdr:rowOff>
    </xdr:to>
    <xdr:pic>
      <xdr:nvPicPr>
        <xdr:cNvPr id="23" name="Picture 22">
          <a:extLst>
            <a:ext uri="{FF2B5EF4-FFF2-40B4-BE49-F238E27FC236}">
              <a16:creationId xmlns:a16="http://schemas.microsoft.com/office/drawing/2014/main" id="{06878E42-19D1-4E6B-8E9D-A6E553275A49}"/>
            </a:ext>
          </a:extLst>
        </xdr:cNvPr>
        <xdr:cNvPicPr>
          <a:picLocks noChangeAspect="1"/>
        </xdr:cNvPicPr>
      </xdr:nvPicPr>
      <xdr:blipFill>
        <a:blip xmlns:r="http://schemas.openxmlformats.org/officeDocument/2006/relationships" r:embed="rId10"/>
        <a:stretch>
          <a:fillRect/>
        </a:stretch>
      </xdr:blipFill>
      <xdr:spPr>
        <a:xfrm>
          <a:off x="942975" y="31346775"/>
          <a:ext cx="8916644" cy="2238687"/>
        </a:xfrm>
        <a:prstGeom prst="rect">
          <a:avLst/>
        </a:prstGeom>
      </xdr:spPr>
    </xdr:pic>
    <xdr:clientData/>
  </xdr:twoCellAnchor>
  <xdr:twoCellAnchor>
    <xdr:from>
      <xdr:col>5</xdr:col>
      <xdr:colOff>1390650</xdr:colOff>
      <xdr:row>171</xdr:row>
      <xdr:rowOff>104775</xdr:rowOff>
    </xdr:from>
    <xdr:to>
      <xdr:col>7</xdr:col>
      <xdr:colOff>38100</xdr:colOff>
      <xdr:row>184</xdr:row>
      <xdr:rowOff>104775</xdr:rowOff>
    </xdr:to>
    <xdr:sp macro="" textlink="">
      <xdr:nvSpPr>
        <xdr:cNvPr id="24" name="Rectangle 15">
          <a:extLst>
            <a:ext uri="{FF2B5EF4-FFF2-40B4-BE49-F238E27FC236}">
              <a16:creationId xmlns:a16="http://schemas.microsoft.com/office/drawing/2014/main" id="{8DD3F558-8AE3-4551-8A3E-100221F8ECCF}"/>
            </a:ext>
            <a:ext uri="{147F2762-F138-4A5C-976F-8EAC2B608ADB}">
              <a16:predDERef xmlns:a16="http://schemas.microsoft.com/office/drawing/2014/main" pred="{7A76FB69-0621-4B86-87B7-01E5CE692525}"/>
            </a:ext>
          </a:extLst>
        </xdr:cNvPr>
        <xdr:cNvSpPr/>
      </xdr:nvSpPr>
      <xdr:spPr>
        <a:xfrm>
          <a:off x="3790950" y="31261050"/>
          <a:ext cx="1619250" cy="2476500"/>
        </a:xfrm>
        <a:prstGeom prst="rect">
          <a:avLst/>
        </a:prstGeom>
        <a:noFill/>
        <a:ln w="762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1</xdr:col>
      <xdr:colOff>1000125</xdr:colOff>
      <xdr:row>249</xdr:row>
      <xdr:rowOff>85725</xdr:rowOff>
    </xdr:from>
    <xdr:to>
      <xdr:col>10</xdr:col>
      <xdr:colOff>154517</xdr:colOff>
      <xdr:row>262</xdr:row>
      <xdr:rowOff>28575</xdr:rowOff>
    </xdr:to>
    <xdr:pic>
      <xdr:nvPicPr>
        <xdr:cNvPr id="25" name="Picture 24">
          <a:extLst>
            <a:ext uri="{FF2B5EF4-FFF2-40B4-BE49-F238E27FC236}">
              <a16:creationId xmlns:a16="http://schemas.microsoft.com/office/drawing/2014/main" id="{345FA15C-0BF6-46F0-A01B-71BD8C2CAE85}"/>
            </a:ext>
            <a:ext uri="{147F2762-F138-4A5C-976F-8EAC2B608ADB}">
              <a16:predDERef xmlns:a16="http://schemas.microsoft.com/office/drawing/2014/main" pred="{D1758D30-5B0A-4216-ADAA-6C26E89C46A0}"/>
            </a:ext>
          </a:extLst>
        </xdr:cNvPr>
        <xdr:cNvPicPr>
          <a:picLocks noChangeAspect="1"/>
        </xdr:cNvPicPr>
      </xdr:nvPicPr>
      <xdr:blipFill>
        <a:blip xmlns:r="http://schemas.openxmlformats.org/officeDocument/2006/relationships" r:embed="rId11"/>
        <a:stretch>
          <a:fillRect/>
        </a:stretch>
      </xdr:blipFill>
      <xdr:spPr>
        <a:xfrm>
          <a:off x="1609725" y="45872400"/>
          <a:ext cx="8496300" cy="2419350"/>
        </a:xfrm>
        <a:prstGeom prst="rect">
          <a:avLst/>
        </a:prstGeom>
      </xdr:spPr>
    </xdr:pic>
    <xdr:clientData/>
  </xdr:twoCellAnchor>
  <xdr:twoCellAnchor>
    <xdr:from>
      <xdr:col>1</xdr:col>
      <xdr:colOff>0</xdr:colOff>
      <xdr:row>232</xdr:row>
      <xdr:rowOff>9525</xdr:rowOff>
    </xdr:from>
    <xdr:to>
      <xdr:col>10</xdr:col>
      <xdr:colOff>542925</xdr:colOff>
      <xdr:row>246</xdr:row>
      <xdr:rowOff>99172</xdr:rowOff>
    </xdr:to>
    <xdr:grpSp>
      <xdr:nvGrpSpPr>
        <xdr:cNvPr id="74" name="Group 1">
          <a:extLst>
            <a:ext uri="{FF2B5EF4-FFF2-40B4-BE49-F238E27FC236}">
              <a16:creationId xmlns:a16="http://schemas.microsoft.com/office/drawing/2014/main" id="{7A274B7B-A4F9-4260-9298-B54A41E12D29}"/>
            </a:ext>
            <a:ext uri="{147F2762-F138-4A5C-976F-8EAC2B608ADB}">
              <a16:predDERef xmlns:a16="http://schemas.microsoft.com/office/drawing/2014/main" pred="{345FA15C-0BF6-46F0-A01B-71BD8C2CAE85}"/>
            </a:ext>
          </a:extLst>
        </xdr:cNvPr>
        <xdr:cNvGrpSpPr/>
      </xdr:nvGrpSpPr>
      <xdr:grpSpPr>
        <a:xfrm>
          <a:off x="609600" y="42319575"/>
          <a:ext cx="9372600" cy="2756647"/>
          <a:chOff x="-1650321" y="3461227"/>
          <a:chExt cx="8923261" cy="2750400"/>
        </a:xfrm>
      </xdr:grpSpPr>
      <xdr:graphicFrame macro="">
        <xdr:nvGraphicFramePr>
          <xdr:cNvPr id="75" name="Chart 2">
            <a:extLst>
              <a:ext uri="{FF2B5EF4-FFF2-40B4-BE49-F238E27FC236}">
                <a16:creationId xmlns:a16="http://schemas.microsoft.com/office/drawing/2014/main" id="{532782CA-98F0-5DFF-BAEA-C77DA195EDCF}"/>
              </a:ext>
            </a:extLst>
          </xdr:cNvPr>
          <xdr:cNvGraphicFramePr>
            <a:graphicFrameLocks/>
          </xdr:cNvGraphicFramePr>
        </xdr:nvGraphicFramePr>
        <xdr:xfrm>
          <a:off x="-1650321" y="3465038"/>
          <a:ext cx="4364925" cy="27432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6" name="Chart 3">
            <a:extLst>
              <a:ext uri="{FF2B5EF4-FFF2-40B4-BE49-F238E27FC236}">
                <a16:creationId xmlns:a16="http://schemas.microsoft.com/office/drawing/2014/main" id="{D9F81289-6D14-65A4-7551-35D175428308}"/>
              </a:ext>
            </a:extLst>
          </xdr:cNvPr>
          <xdr:cNvGraphicFramePr/>
        </xdr:nvGraphicFramePr>
        <xdr:xfrm>
          <a:off x="2700940" y="3461227"/>
          <a:ext cx="4572000" cy="2750400"/>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10</xdr:col>
      <xdr:colOff>695325</xdr:colOff>
      <xdr:row>232</xdr:row>
      <xdr:rowOff>28575</xdr:rowOff>
    </xdr:from>
    <xdr:to>
      <xdr:col>16</xdr:col>
      <xdr:colOff>904875</xdr:colOff>
      <xdr:row>246</xdr:row>
      <xdr:rowOff>118222</xdr:rowOff>
    </xdr:to>
    <xdr:grpSp>
      <xdr:nvGrpSpPr>
        <xdr:cNvPr id="80" name="Group 1">
          <a:extLst>
            <a:ext uri="{FF2B5EF4-FFF2-40B4-BE49-F238E27FC236}">
              <a16:creationId xmlns:a16="http://schemas.microsoft.com/office/drawing/2014/main" id="{3047FDB5-903F-4376-A8C9-BC7443CFDD1A}"/>
            </a:ext>
            <a:ext uri="{147F2762-F138-4A5C-976F-8EAC2B608ADB}">
              <a16:predDERef xmlns:a16="http://schemas.microsoft.com/office/drawing/2014/main" pred="{7A274B7B-A4F9-4260-9298-B54A41E12D29}"/>
            </a:ext>
          </a:extLst>
        </xdr:cNvPr>
        <xdr:cNvGrpSpPr/>
      </xdr:nvGrpSpPr>
      <xdr:grpSpPr>
        <a:xfrm>
          <a:off x="10134600" y="42338625"/>
          <a:ext cx="7400925" cy="2756647"/>
          <a:chOff x="-1650321" y="3461227"/>
          <a:chExt cx="8923261" cy="2750400"/>
        </a:xfrm>
      </xdr:grpSpPr>
      <xdr:graphicFrame macro="">
        <xdr:nvGraphicFramePr>
          <xdr:cNvPr id="81" name="Chart 2">
            <a:extLst>
              <a:ext uri="{FF2B5EF4-FFF2-40B4-BE49-F238E27FC236}">
                <a16:creationId xmlns:a16="http://schemas.microsoft.com/office/drawing/2014/main" id="{6CB4CD66-99E7-A2DB-9E9D-5E9AF3681E1A}"/>
              </a:ext>
            </a:extLst>
          </xdr:cNvPr>
          <xdr:cNvGraphicFramePr>
            <a:graphicFrameLocks/>
          </xdr:cNvGraphicFramePr>
        </xdr:nvGraphicFramePr>
        <xdr:xfrm>
          <a:off x="-1650321" y="3465038"/>
          <a:ext cx="4364925" cy="274320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82" name="Chart 3">
            <a:extLst>
              <a:ext uri="{FF2B5EF4-FFF2-40B4-BE49-F238E27FC236}">
                <a16:creationId xmlns:a16="http://schemas.microsoft.com/office/drawing/2014/main" id="{B4764FC2-5E1D-4582-E4EF-0779D5F8CB47}"/>
              </a:ext>
            </a:extLst>
          </xdr:cNvPr>
          <xdr:cNvGraphicFramePr/>
        </xdr:nvGraphicFramePr>
        <xdr:xfrm>
          <a:off x="2700940" y="3461227"/>
          <a:ext cx="4572000" cy="275040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1</xdr:col>
      <xdr:colOff>69035</xdr:colOff>
      <xdr:row>13</xdr:row>
      <xdr:rowOff>17828</xdr:rowOff>
    </xdr:from>
    <xdr:to>
      <xdr:col>3</xdr:col>
      <xdr:colOff>2141815</xdr:colOff>
      <xdr:row>27</xdr:row>
      <xdr:rowOff>69560</xdr:rowOff>
    </xdr:to>
    <xdr:graphicFrame macro="">
      <xdr:nvGraphicFramePr>
        <xdr:cNvPr id="7" name="Chart 6">
          <a:extLst>
            <a:ext uri="{FF2B5EF4-FFF2-40B4-BE49-F238E27FC236}">
              <a16:creationId xmlns:a16="http://schemas.microsoft.com/office/drawing/2014/main" id="{BBBBC868-1806-E2D6-2D72-17FB7F978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2131327</xdr:colOff>
      <xdr:row>13</xdr:row>
      <xdr:rowOff>17828</xdr:rowOff>
    </xdr:from>
    <xdr:to>
      <xdr:col>9</xdr:col>
      <xdr:colOff>673739</xdr:colOff>
      <xdr:row>27</xdr:row>
      <xdr:rowOff>69560</xdr:rowOff>
    </xdr:to>
    <xdr:graphicFrame macro="">
      <xdr:nvGraphicFramePr>
        <xdr:cNvPr id="8" name="Chart 7">
          <a:extLst>
            <a:ext uri="{FF2B5EF4-FFF2-40B4-BE49-F238E27FC236}">
              <a16:creationId xmlns:a16="http://schemas.microsoft.com/office/drawing/2014/main" id="{037A9C22-8832-20A6-8041-35FDC3D212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1685925</xdr:colOff>
      <xdr:row>47</xdr:row>
      <xdr:rowOff>161918</xdr:rowOff>
    </xdr:from>
    <xdr:to>
      <xdr:col>9</xdr:col>
      <xdr:colOff>98425</xdr:colOff>
      <xdr:row>59</xdr:row>
      <xdr:rowOff>177552</xdr:rowOff>
    </xdr:to>
    <xdr:pic>
      <xdr:nvPicPr>
        <xdr:cNvPr id="2" name="Picture 1">
          <a:extLst>
            <a:ext uri="{FF2B5EF4-FFF2-40B4-BE49-F238E27FC236}">
              <a16:creationId xmlns:a16="http://schemas.microsoft.com/office/drawing/2014/main" id="{FC8A4A6F-745F-4386-AF4F-55CA7E25EC99}"/>
            </a:ext>
          </a:extLst>
        </xdr:cNvPr>
        <xdr:cNvPicPr>
          <a:picLocks noChangeAspect="1"/>
        </xdr:cNvPicPr>
      </xdr:nvPicPr>
      <xdr:blipFill>
        <a:blip xmlns:r="http://schemas.openxmlformats.org/officeDocument/2006/relationships" r:embed="rId1"/>
        <a:stretch>
          <a:fillRect/>
        </a:stretch>
      </xdr:blipFill>
      <xdr:spPr>
        <a:xfrm>
          <a:off x="0" y="11029943"/>
          <a:ext cx="6308725" cy="2301634"/>
        </a:xfrm>
        <a:prstGeom prst="rect">
          <a:avLst/>
        </a:prstGeom>
        <a:ln>
          <a:solidFill>
            <a:schemeClr val="tx1"/>
          </a:solidFill>
        </a:ln>
      </xdr:spPr>
    </xdr:pic>
    <xdr:clientData/>
  </xdr:twoCellAnchor>
  <xdr:twoCellAnchor editAs="oneCell">
    <xdr:from>
      <xdr:col>0</xdr:col>
      <xdr:colOff>1657350</xdr:colOff>
      <xdr:row>61</xdr:row>
      <xdr:rowOff>128577</xdr:rowOff>
    </xdr:from>
    <xdr:to>
      <xdr:col>9</xdr:col>
      <xdr:colOff>122237</xdr:colOff>
      <xdr:row>74</xdr:row>
      <xdr:rowOff>137566</xdr:rowOff>
    </xdr:to>
    <xdr:pic>
      <xdr:nvPicPr>
        <xdr:cNvPr id="3" name="Picture 3">
          <a:extLst>
            <a:ext uri="{FF2B5EF4-FFF2-40B4-BE49-F238E27FC236}">
              <a16:creationId xmlns:a16="http://schemas.microsoft.com/office/drawing/2014/main" id="{E4F96C35-C57B-4130-97BB-6911369D9928}"/>
            </a:ext>
            <a:ext uri="{147F2762-F138-4A5C-976F-8EAC2B608ADB}">
              <a16:predDERef xmlns:a16="http://schemas.microsoft.com/office/drawing/2014/main" pred="{E317E5C8-4570-42A8-895F-12DE4F13DA0A}"/>
            </a:ext>
          </a:extLst>
        </xdr:cNvPr>
        <xdr:cNvPicPr>
          <a:picLocks noChangeAspect="1"/>
        </xdr:cNvPicPr>
      </xdr:nvPicPr>
      <xdr:blipFill>
        <a:blip xmlns:r="http://schemas.openxmlformats.org/officeDocument/2006/relationships" r:embed="rId2"/>
        <a:stretch>
          <a:fillRect/>
        </a:stretch>
      </xdr:blipFill>
      <xdr:spPr>
        <a:xfrm>
          <a:off x="0" y="13663602"/>
          <a:ext cx="6332537" cy="2485489"/>
        </a:xfrm>
        <a:prstGeom prst="rect">
          <a:avLst/>
        </a:prstGeom>
        <a:ln>
          <a:solidFill>
            <a:schemeClr val="tx1"/>
          </a:solidFill>
        </a:ln>
      </xdr:spPr>
    </xdr:pic>
    <xdr:clientData/>
  </xdr:twoCellAnchor>
  <xdr:twoCellAnchor editAs="oneCell">
    <xdr:from>
      <xdr:col>0</xdr:col>
      <xdr:colOff>1657351</xdr:colOff>
      <xdr:row>75</xdr:row>
      <xdr:rowOff>57149</xdr:rowOff>
    </xdr:from>
    <xdr:to>
      <xdr:col>9</xdr:col>
      <xdr:colOff>90486</xdr:colOff>
      <xdr:row>90</xdr:row>
      <xdr:rowOff>110318</xdr:rowOff>
    </xdr:to>
    <xdr:pic>
      <xdr:nvPicPr>
        <xdr:cNvPr id="4" name="Picture 4">
          <a:extLst>
            <a:ext uri="{FF2B5EF4-FFF2-40B4-BE49-F238E27FC236}">
              <a16:creationId xmlns:a16="http://schemas.microsoft.com/office/drawing/2014/main" id="{8FEA492C-7D19-4B50-8A6B-2B21BEC05263}"/>
            </a:ext>
            <a:ext uri="{147F2762-F138-4A5C-976F-8EAC2B608ADB}">
              <a16:predDERef xmlns:a16="http://schemas.microsoft.com/office/drawing/2014/main" pred="{51592E8D-4F42-4FEF-A6FA-ACEC90441DB2}"/>
            </a:ext>
          </a:extLst>
        </xdr:cNvPr>
        <xdr:cNvPicPr>
          <a:picLocks noChangeAspect="1"/>
        </xdr:cNvPicPr>
      </xdr:nvPicPr>
      <xdr:blipFill>
        <a:blip xmlns:r="http://schemas.openxmlformats.org/officeDocument/2006/relationships" r:embed="rId3"/>
        <a:stretch>
          <a:fillRect/>
        </a:stretch>
      </xdr:blipFill>
      <xdr:spPr>
        <a:xfrm>
          <a:off x="0" y="16259174"/>
          <a:ext cx="6300786" cy="2910669"/>
        </a:xfrm>
        <a:prstGeom prst="rect">
          <a:avLst/>
        </a:prstGeom>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MDUATApril2021Release/Shared%20Documents/General/December%202021%20Release%20(Sprint%2021%20-%2022%20Requirements)/MMD_Buy%20Side_R22.1_UAT_Test%20Framework.xlsx" TargetMode="External"/><Relationship Id="rId1" Type="http://schemas.openxmlformats.org/officeDocument/2006/relationships/externalLinkPath" Target="/sites/MMDUATApril2021Release/Shared%20Documents/General/December%202021%20Release%20(Sprint%2021%20-%2022%20Requirements)/MMD_Buy%20Side_R22.1_UAT_Test%20Framework.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gerald.h.ouano/Desktop/Archive/Release%206%20-%20Sprint%2019/Sprint%2019%20Rules-%20Test%20Result.xlsx" TargetMode="External"/><Relationship Id="rId1" Type="http://schemas.openxmlformats.org/officeDocument/2006/relationships/externalLinkPath" Target="/Users/gerald.h.ouano/Desktop/Archive/Release%206%20-%20Sprint%2019/Sprint%2019%20Rules-%20Test%20Resul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iCertis574/Shared%20Documents/General/02%20-%20Test%20Plan/Release%2006/03%20Execute/Release%206%20-%20UAT/MMD_2021_September_R6_Workbook_Final_20210802_v2-%20Testing.xlsx" TargetMode="External"/><Relationship Id="rId1" Type="http://schemas.openxmlformats.org/officeDocument/2006/relationships/externalLinkPath" Target="/sites/iCertis574/Shared%20Documents/General/02%20-%20Test%20Plan/Release%2006/03%20Execute/Release%206%20-%20UAT/MMD_2021_September_R6_Workbook_Final_20210802_v2-%20Test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iCertis574/Shared%20Documents/General/02%20-%20Test%20Plan/Release%2006/03%20Execute/Release%206%20-%20UAT/MMD_2021_September_R6_Workbook_Request_Only_20072021-%20Testing.xlsx" TargetMode="External"/><Relationship Id="rId1" Type="http://schemas.openxmlformats.org/officeDocument/2006/relationships/externalLinkPath" Target="/sites/iCertis574/Shared%20Documents/General/02%20-%20Test%20Plan/Release%2006/03%20Execute/Release%206%20-%20UAT/MMD_2021_September_R6_Workbook_Request_Only_20072021-%20Testing.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clariz.l.robles/Desktop/BuyNow%20RTM%20-%20Wave%203.xlsx" TargetMode="External"/><Relationship Id="rId1" Type="http://schemas.openxmlformats.org/officeDocument/2006/relationships/externalLinkPath" Target="/Users/clariz.l.robles/Desktop/BuyNow%20RTM%20-%20Wave%203.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gerald.h.ouano/Downloads/RULES%20FOR%20APPROVAL%20AND%20ROUTING%20R5%20-%20ADO%2005.28.2021_Arizza.xlsx" TargetMode="External"/><Relationship Id="rId1" Type="http://schemas.openxmlformats.org/officeDocument/2006/relationships/externalLinkPath" Target="/Users/gerald.h.ouano/Downloads/RULES%20FOR%20APPROVAL%20AND%20ROUTING%20R5%20-%20ADO%2005.28.2021_Arizza.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personal/gerald_h_ouano_accenture_com/Documents/ICERTIS/Back-up/RULES%20FOR%20APPROVAL%20AND%20ROUTING%20R5%20-%20ADO%2005.28.2021.xlsx" TargetMode="External"/><Relationship Id="rId1" Type="http://schemas.openxmlformats.org/officeDocument/2006/relationships/externalLinkPath" Target="/personal/gerald_h_ouano_accenture_com/Documents/ICERTIS/Back-up/RULES%20FOR%20APPROVAL%20AND%20ROUTING%20R5%20-%20ADO%2005.28.2021.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iCertis574/Shared%20Documents/General/02%20-%20Test%20Plan/Back-up/RULES%20FOR%20APPROVAL%20AND%20ROUTING%20R5%20-%20ADO%2005.28.2021.xlsx" TargetMode="External"/><Relationship Id="rId1" Type="http://schemas.openxmlformats.org/officeDocument/2006/relationships/externalLinkPath" Target="/sites/iCertis574/Shared%20Documents/General/02%20-%20Test%20Plan/Back-up/RULES%20FOR%20APPROVAL%20AND%20ROUTING%20R5%20-%20ADO%2005.28.2021.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personal/gerald_h_ouano_accenture_com/Documents/ICERTIS/Release%2006/02%20Prep/Prep%20-%20Sprint%2019/Buy%20Side%20-%20Config%20Workbook%20-%20Global%20Version%20-%20R5%20-%2020210527%20(3).xlsx" TargetMode="External"/><Relationship Id="rId1" Type="http://schemas.openxmlformats.org/officeDocument/2006/relationships/externalLinkPath" Target="/personal/gerald_h_ouano_accenture_com/Documents/ICERTIS/Release%2006/02%20Prep/Prep%20-%20Sprint%2019/Buy%20Side%20-%20Config%20Workbook%20-%20Global%20Version%20-%20R5%20-%2020210527%20(3).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iCertis574/Shared%20Documents/General/02%20-%20Test%20Plan/Release%2006/02%20Prep/Prep%20-%20Sprint%2019/Buy%20Side%20-%20Config%20Workbook%20-%20Global%20Version%20-%20R5%20-%2020210527%20(3).xlsx" TargetMode="External"/><Relationship Id="rId1" Type="http://schemas.openxmlformats.org/officeDocument/2006/relationships/externalLinkPath" Target="/sites/iCertis574/Shared%20Documents/General/02%20-%20Test%20Plan/Release%2006/02%20Prep/Prep%20-%20Sprint%2019/Buy%20Side%20-%20Config%20Workbook%20-%20Global%20Version%20-%20R5%20-%2020210527%20(3).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Y26.2%20-%20March%20Release/FY26.2%20Test%20Plan%20Tracker.xlsx" TargetMode="External"/><Relationship Id="rId2" Type="http://schemas.openxmlformats.org/officeDocument/2006/relationships/externalLinkPath" Target="https://ts.accenture.com/sites/MMDBuySide-CIOTeam/Shared%20Documents/General/Test%20Team/FY26/FY26.2%20-%20March%20Release/FY26.2%20Test%20Plan%20Tracker.xlsx" TargetMode="External"/><Relationship Id="rId1" Type="http://schemas.openxmlformats.org/officeDocument/2006/relationships/externalLinkPath" Target="/sites/MMDBuySide-CIOTeam/Shared%20Documents/General/Test%20Team/FY26/FY26.2%20-%20March%20Release/FY26.2%20Test%20Plan%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MA"/>
      <sheetName val="SREQ"/>
      <sheetName val="NA Test Framework"/>
      <sheetName val="NA Test Data"/>
      <sheetName val="Sheet1"/>
      <sheetName val="UKI France Framework 1"/>
      <sheetName val="UKI France Test Data 1"/>
      <sheetName val="UKI France Framework 2"/>
      <sheetName val="Test Data"/>
      <sheetName val="Values"/>
      <sheetName val="UKI France Test Data 2"/>
      <sheetName val="Activity Per Da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ignee"/>
      <sheetName val="Request"/>
      <sheetName val="TC01"/>
      <sheetName val="TC01 Screenshots"/>
      <sheetName val="SMA"/>
      <sheetName val="TC02"/>
      <sheetName val="TC02 Screenshots"/>
      <sheetName val="Dropdown"/>
    </sheetNames>
    <sheetDataSet>
      <sheetData sheetId="0" refreshError="1"/>
      <sheetData sheetId="1" refreshError="1"/>
      <sheetData sheetId="2"/>
      <sheetData sheetId="3" refreshError="1"/>
      <sheetData sheetId="4" refreshError="1"/>
      <sheetData sheetId="5"/>
      <sheetData sheetId="6"/>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ordered SMA with edits"/>
      <sheetName val="ReorderSCC with edits"/>
      <sheetName val="ReorderSOW with edits"/>
      <sheetName val="Notes"/>
    </sheetNames>
    <sheetDataSet>
      <sheetData sheetId="0" refreshError="1"/>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ordered Request"/>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ME"/>
      <sheetName val="GLOBAL Requirements"/>
      <sheetName val="Wave 1"/>
      <sheetName val="Wave 2"/>
      <sheetName val="Wave 3 Requirements"/>
      <sheetName val="Requirement Status"/>
      <sheetName val="Sheet2"/>
      <sheetName val="Values"/>
      <sheetName val="Revision and Approval History"/>
    </sheetNames>
    <sheetDataSet>
      <sheetData sheetId="0"/>
      <sheetData sheetId="1"/>
      <sheetData sheetId="2"/>
      <sheetData sheetId="3"/>
      <sheetData sheetId="4"/>
      <sheetData sheetId="5"/>
      <sheetData sheetId="6"/>
      <sheetData sheetId="7" refreshError="1"/>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ignee"/>
      <sheetName val="Request"/>
      <sheetName val="1.1"/>
      <sheetName val="1.1-Screenshots"/>
      <sheetName val="ADO"/>
      <sheetName val="1.1 Screenshots"/>
      <sheetName val="Contract Type Selection Rules"/>
      <sheetName val="1.2"/>
      <sheetName val="1.2-Screenshots"/>
      <sheetName val="SMA"/>
      <sheetName val="2.1"/>
      <sheetName val="SSW"/>
      <sheetName val="2.2"/>
      <sheetName val="SCC"/>
      <sheetName val="2.3"/>
      <sheetName val="SMA Self-Service Contract Sub-T"/>
      <sheetName val="2.4"/>
      <sheetName val="2.4-Screenshots"/>
      <sheetName val="SCC Self-Service Contract Sub-T"/>
      <sheetName val="2.5"/>
      <sheetName val="2.5-Screenshots"/>
      <sheetName val="Dropdown"/>
      <sheetName val="Inquiry"/>
    </sheetNames>
    <sheetDataSet>
      <sheetData sheetId="0" refreshError="1"/>
      <sheetData sheetId="1" refreshError="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ignee"/>
      <sheetName val="Request"/>
      <sheetName val="1.1"/>
      <sheetName val="1.1 Screenshots"/>
      <sheetName val="Contract Type Selection Rules"/>
      <sheetName val="1.2"/>
      <sheetName val="SMA"/>
      <sheetName val="2.1"/>
      <sheetName val="ASIGNEE"/>
      <sheetName val="RETEST 1"/>
      <sheetName val="RETEST 2"/>
      <sheetName val="SSW"/>
      <sheetName val="2.2"/>
      <sheetName val="SCC"/>
      <sheetName val="2.3"/>
      <sheetName val="SMA Self-Service Contract Sub-T"/>
      <sheetName val="2.4"/>
      <sheetName val="SCC Self-Service Contract Sub-T"/>
      <sheetName val="2.5"/>
      <sheetName val="Dropdown"/>
      <sheetName val="Inquiry"/>
      <sheetName val="F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ignee"/>
      <sheetName val="Request"/>
      <sheetName val="1.1"/>
      <sheetName val="1.1 Screenshots"/>
      <sheetName val="Contract Type Selection Rules"/>
      <sheetName val="1.2"/>
      <sheetName val="SMA"/>
      <sheetName val="2.1"/>
      <sheetName val="ASIGNEE"/>
      <sheetName val="RETEST 1"/>
      <sheetName val="RETEST 2"/>
      <sheetName val="SSW"/>
      <sheetName val="2.2"/>
      <sheetName val="SCC"/>
      <sheetName val="2.3"/>
      <sheetName val="SMA Self-Service Contract Sub-T"/>
      <sheetName val="2.4"/>
      <sheetName val="SCC Self-Service Contract Sub-T"/>
      <sheetName val="2.5"/>
      <sheetName val="Dropdown"/>
      <sheetName val="Inquiry"/>
      <sheetName val="F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rganization"/>
      <sheetName val="Contract Codes"/>
      <sheetName val="Contract Type Definition"/>
      <sheetName val="Sprint 1 MSA - Metadata 100220"/>
      <sheetName val="Sprint 1 SMA - Metadata"/>
      <sheetName val="Sprint 1 SOW - Metadata"/>
      <sheetName val="Sprint 1 MSA - Metadata 100620"/>
      <sheetName val="Sprint 2 SMA - MetaAmendment"/>
      <sheetName val="Sprint 2 SOW - MetaAmendment"/>
      <sheetName val="Sprint 2 Amendment - Draft"/>
      <sheetName val="Sprint 2 SCC - Metadata 102320"/>
      <sheetName val="Sprint 2 SCC - Metadata"/>
      <sheetName val="Global Request Metadata"/>
      <sheetName val="drop downs"/>
      <sheetName val="Request Metadata"/>
      <sheetName val="Sprint 2 Request-NotComplete"/>
      <sheetName val="MSA Associated Doc"/>
      <sheetName val="Org Structure"/>
      <sheetName val="User Groups"/>
      <sheetName val="Security Groups"/>
      <sheetName val="User List"/>
      <sheetName val="Reference-Data Types"/>
      <sheetName val="Org Groups"/>
      <sheetName val="Templates"/>
      <sheetName val="Clauses"/>
      <sheetName val="Master Data"/>
      <sheetName val="Master Attributes Li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rganization"/>
      <sheetName val="Contract Codes"/>
      <sheetName val="Contract Type Definition"/>
      <sheetName val="Sprint 1 MSA - Metadata 100220"/>
      <sheetName val="Sprint 1 SMA - Metadata"/>
      <sheetName val="Sprint 1 SOW - Metadata"/>
      <sheetName val="Sprint 1 MSA - Metadata 100620"/>
      <sheetName val="Sprint 2 SMA - MetaAmendment"/>
      <sheetName val="Sprint 2 SOW - MetaAmendment"/>
      <sheetName val="Sprint 2 Amendment - Draft"/>
      <sheetName val="Sprint 2 SCC - Metadata 102320"/>
      <sheetName val="Sprint 2 SCC - Metadata"/>
      <sheetName val="Global Request Metadata"/>
      <sheetName val="drop downs"/>
      <sheetName val="Request Metadata"/>
      <sheetName val="Sprint 2 Request-NotComplete"/>
      <sheetName val="MSA Associated Doc"/>
      <sheetName val="Org Structure"/>
      <sheetName val="User Groups"/>
      <sheetName val="Security Groups"/>
      <sheetName val="User List"/>
      <sheetName val="Reference-Data Types"/>
      <sheetName val="Org Groups"/>
      <sheetName val="Templates"/>
      <sheetName val="Clauses"/>
      <sheetName val="Master Data"/>
      <sheetName val="Master Attributes Li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LINKS"/>
      <sheetName val="Audit Trail"/>
      <sheetName val="Capacity"/>
      <sheetName val="Signature"/>
      <sheetName val="Deviation"/>
      <sheetName val="Risk"/>
      <sheetName val="TCER"/>
      <sheetName val="BUGS"/>
      <sheetName val="Report"/>
      <sheetName val="Regression"/>
      <sheetName val="BSR Access"/>
      <sheetName val="UAT Report"/>
      <sheetName val="Downtime"/>
      <sheetName val="Post-Mortem"/>
      <sheetName val="Sheet1"/>
      <sheetName val="Data Conversion -Audit trail "/>
      <sheetName val="Cut Over"/>
      <sheetName val="MMD Access"/>
      <sheetName val="Smoke Test"/>
      <sheetName val="Offset"/>
      <sheetName val="Mock Test Access"/>
      <sheetName val="LESSON LEARNED"/>
      <sheetName val="EMAIL NOTIF"/>
      <sheetName val="QA slowness"/>
      <sheetName val="Add New Record Button"/>
    </sheetNames>
    <sheetDataSet>
      <sheetData sheetId="0"/>
      <sheetData sheetId="1"/>
      <sheetData sheetId="2"/>
      <sheetData sheetId="3"/>
      <sheetData sheetId="4"/>
      <sheetData sheetId="5"/>
      <sheetData sheetId="6"/>
      <sheetData sheetId="7"/>
      <sheetData sheetId="8"/>
      <sheetData sheetId="9"/>
      <sheetData sheetId="10"/>
      <sheetData sheetId="11">
        <row r="227">
          <cell r="D227" t="str">
            <v>Failed</v>
          </cell>
          <cell r="E227" t="str">
            <v>In Progress</v>
          </cell>
        </row>
        <row r="228">
          <cell r="B228" t="str">
            <v>ASGR Legal</v>
          </cell>
          <cell r="D228">
            <v>0</v>
          </cell>
          <cell r="E228">
            <v>0</v>
          </cell>
        </row>
        <row r="229">
          <cell r="B229" t="str">
            <v>ASGR Procurement</v>
          </cell>
          <cell r="D229">
            <v>0</v>
          </cell>
          <cell r="E229">
            <v>0</v>
          </cell>
        </row>
        <row r="230">
          <cell r="B230" t="str">
            <v>ICEG Procurement</v>
          </cell>
          <cell r="D230">
            <v>0</v>
          </cell>
          <cell r="E230">
            <v>0</v>
          </cell>
        </row>
        <row r="231">
          <cell r="B231" t="str">
            <v>PH Procurement</v>
          </cell>
          <cell r="D231">
            <v>0</v>
          </cell>
          <cell r="E231">
            <v>0</v>
          </cell>
        </row>
        <row r="232">
          <cell r="B232" t="str">
            <v>INDIA Procurement</v>
          </cell>
          <cell r="D232">
            <v>0</v>
          </cell>
          <cell r="E232">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persons/person.xml><?xml version="1.0" encoding="utf-8"?>
<personList xmlns="http://schemas.microsoft.com/office/spreadsheetml/2018/threadedcomments" xmlns:x="http://schemas.openxmlformats.org/spreadsheetml/2006/main">
  <person displayName="Tan, Elealeh" id="{A749D470-5E81-414E-8B10-81DBD5AE4113}" userId="elealeh.tan@accenture.com" providerId="PeoplePicker"/>
  <person displayName="Montales, Jhoanna" id="{C6327CB9-69A9-461B-A639-F87A550C1844}" userId="S::jhoanna.m.montales@accenture.com::a47e3930-a83a-483c-9d89-b8523987798c"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 dT="2026-04-16T10:45:50.79" personId="{C6327CB9-69A9-461B-A639-F87A550C1844}" id="{5EE8B713-C1B5-4569-BCDE-0D3A93097DB0}">
    <text xml:space="preserve">@Tan, Elealeh bini create you ng inflight na direct creation lang ng 1 request and 1 bsr to request na may added na contract admin. </text>
    <mentions>
      <mention mentionpersonId="{A749D470-5E81-414E-8B10-81DBD5AE4113}" mentionId="{30C42091-9697-4BBC-8C45-9835DFF05F6D}" startIndex="0" length="13"/>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ccentureqa.icertis.com/" TargetMode="External"/><Relationship Id="rId13" Type="http://schemas.openxmlformats.org/officeDocument/2006/relationships/hyperlink" Target="../../../../../../HumanMachineDashboard/Lists/Collateral_List/AllItems.aspx?FilterField1=field_2&amp;FilterValue1=jose%2Emari%2Ericardo&amp;FilterType1=Text&amp;FilterField2=ReadyforProductionIntegration_x0&amp;FilterValue2=&amp;FilterType2=Choice&amp;viewid=3fc2f858-03b8-4fb1-ad6a-7327d37c5854" TargetMode="External"/><Relationship Id="rId3" Type="http://schemas.openxmlformats.org/officeDocument/2006/relationships/hyperlink" Target="../../../../../../../:x:/r/sites/MMDBuySide-CIOTeam/Shared%20Documents/General/Test%20Team/FY25/FY25.3%20Capacity%20Plan.xlsx?d=we61d4c7f3e3c4459956e08cdb1acacc0&amp;csf=1&amp;web=1&amp;e=hmI5Cq" TargetMode="External"/><Relationship Id="rId7" Type="http://schemas.openxmlformats.org/officeDocument/2006/relationships/hyperlink" Target="../../../../../../../:f:/r/sites/MMDBuySide-CIOTeam/Shared%20Documents/General/Test%20Team/Test%20Plan?csf=1&amp;web=1&amp;e=XeyrQ3" TargetMode="External"/><Relationship Id="rId12" Type="http://schemas.openxmlformats.org/officeDocument/2006/relationships/hyperlink" Target="../../../../../../../:f:/r/sites/MMDBuySide-CIOTeam/Shared%20Documents/General/Automation?csf=1&amp;web=1&amp;e=jqHn8a" TargetMode="External"/><Relationship Id="rId17" Type="http://schemas.openxmlformats.org/officeDocument/2006/relationships/hyperlink" Target="mailto:CIO.ProcPlus.ServiceNowL2Ops@accenture.com" TargetMode="External"/><Relationship Id="rId2" Type="http://schemas.openxmlformats.org/officeDocument/2006/relationships/hyperlink" Target="../../../../../../../:x:/r/sites/MMDBuySide-CIOTeam/Shared%20Documents/General/Test%20Team/FY25/MMD%20June%20Release%20Timeline.xlsx?d=wfa4f9c900e0b4f8ebcc82ef1aa59dfcd&amp;csf=1&amp;web=1&amp;e=0rkxnR" TargetMode="External"/><Relationship Id="rId16" Type="http://schemas.openxmlformats.org/officeDocument/2006/relationships/hyperlink" Target="../../../../../../../:x:/r/sites/MMDBuySide-CIOTeam/_layouts/15/Doc.aspx?sourcedoc=%7B78DA9174-BC85-42BD-B7BA-5FC5C7E348A9%7D&amp;file=FY25%20MMD%20Automation%20Tracker.xlsx&amp;action=default&amp;mobileredirect=true" TargetMode="External"/><Relationship Id="rId1" Type="http://schemas.openxmlformats.org/officeDocument/2006/relationships/hyperlink" Target="../../../../../../../:x:/r/sites/MMDBuySide-CIOTeam/Shared%20Documents/General/Test%20Team/FY25/FY25%20iCertis_Buy%20Side_Bug%20Summary.xlsx?d=wd7d69b62544a4049a3e2643502c44bfe&amp;csf=1&amp;web=1&amp;e=8Di5s7" TargetMode="External"/><Relationship Id="rId6" Type="http://schemas.openxmlformats.org/officeDocument/2006/relationships/hyperlink" Target="../../../../../../../:x:/r/sites/MMDBuySide-CIOTeam/Shared%20Documents/General/Test%20Team/FY25%20MMD%20Buy%20Side%20Tracker.xlsx?d=w1811cc7658c44f6695a87f29356639b0&amp;csf=1&amp;web=1&amp;e=W93Yj5" TargetMode="External"/><Relationship Id="rId11" Type="http://schemas.openxmlformats.org/officeDocument/2006/relationships/hyperlink" Target="https://dev.azure.com/accenturecio24/CategoryToContract_PR1085/_workitems/edit/696288" TargetMode="External"/><Relationship Id="rId5" Type="http://schemas.openxmlformats.org/officeDocument/2006/relationships/hyperlink" Target="../../../../../../../:x:/r/sites/MMDBuySide-CIOTeam/Shared%20Documents/General/Test%20Team/FY25%20Stand-Up%20Meeting%20MMD%20Test%20Team.xlsx?d=w716a018f224349749a93cee1232b3941&amp;csf=1&amp;web=1&amp;e=cS4epv" TargetMode="External"/><Relationship Id="rId15" Type="http://schemas.openxmlformats.org/officeDocument/2006/relationships/hyperlink" Target="https://intelligentautomationcoe.accenture.com/view-plan" TargetMode="External"/><Relationship Id="rId10" Type="http://schemas.openxmlformats.org/officeDocument/2006/relationships/hyperlink" Target="https://accenture.icertis.com/" TargetMode="External"/><Relationship Id="rId4" Type="http://schemas.openxmlformats.org/officeDocument/2006/relationships/hyperlink" Target="../../../../../../../:x:/r/sites/MMDBuySide-CIOTeam/Shared%20Documents/General/Test%20Team/FY25/FY25.3%20-%20June%20Release/FY25.3%20Test%20Plan%20Tracker.xlsx?d=w8b53b40771a74281b71a827e95ec30c0&amp;csf=1&amp;web=1&amp;e=yEMwpQ" TargetMode="External"/><Relationship Id="rId9" Type="http://schemas.openxmlformats.org/officeDocument/2006/relationships/hyperlink" Target="https://accentureprdfix.icertis.com/Dashboard" TargetMode="External"/><Relationship Id="rId14" Type="http://schemas.openxmlformats.org/officeDocument/2006/relationships/hyperlink" Target="https://myoffice.accenture.com/:x:/r/personal/ceredion_jr_q_bascon_accenture_com/_layouts/15/Doc.aspx?sourcedoc=%7B19CD6139-B159-4A68-AB00-93A037D7C57B%7D&amp;file=FY25%20Automation%20APAJ.xlsx&amp;fromShare=true&amp;action=default&amp;mobileredirect=true"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x:/r/sites/NextGenACES-iCertisShared/_layouts/15/doc2.aspx?sourcedoc=%7BD33E531F-DB94-47C3-A5DE-B7C1AAFBC74A%7D&amp;file=MMD%20Downtime%20Log_v3.xlsx&amp;action=default&amp;mobileredirect=true&amp;cid=73bf968d-6467-4a9a-8246-8594cef27da2"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ev.azure.com/accenturecio24/CategoryToContract_PR1085/_workitems/edit/1081986" TargetMode="External"/><Relationship Id="rId18" Type="http://schemas.openxmlformats.org/officeDocument/2006/relationships/hyperlink" Target="https://dev.azure.com/accenturecio24/CategoryToContract_PR1085/_workitems/edit/1054356" TargetMode="External"/><Relationship Id="rId26" Type="http://schemas.openxmlformats.org/officeDocument/2006/relationships/hyperlink" Target="https://dev.azure.com/accenturecio24/CategoryToContract_PR1085/_workitems/edit/1061641/" TargetMode="External"/><Relationship Id="rId39" Type="http://schemas.openxmlformats.org/officeDocument/2006/relationships/hyperlink" Target="https://dev.azure.com/accenturecio24/CategoryToContract_PR1085/_workitems/edit/1093921" TargetMode="External"/><Relationship Id="rId21" Type="http://schemas.openxmlformats.org/officeDocument/2006/relationships/hyperlink" Target="https://dev.azure.com/accenturecio24/CategoryToContract_PR1085/_workitems/edit/1053554" TargetMode="External"/><Relationship Id="rId34" Type="http://schemas.openxmlformats.org/officeDocument/2006/relationships/hyperlink" Target="https://dev.azure.com/accenturecio24/CategoryToContract_PR1085/_workitems/edit/1080462" TargetMode="External"/><Relationship Id="rId42" Type="http://schemas.openxmlformats.org/officeDocument/2006/relationships/hyperlink" Target="https://dev.azure.com/accenturecio24/CategoryToContract_PR1085/_workitems/edit/1099816" TargetMode="External"/><Relationship Id="rId47" Type="http://schemas.openxmlformats.org/officeDocument/2006/relationships/hyperlink" Target="https://dev.azure.com/accenturecio24/CategoryToContract_PR1085/_workitems/edit/1101229" TargetMode="External"/><Relationship Id="rId50" Type="http://schemas.openxmlformats.org/officeDocument/2006/relationships/hyperlink" Target="https://dev.azure.com/accenturecio24/CategoryToContract_PR1085/_workitems/edit/1088601" TargetMode="External"/><Relationship Id="rId55" Type="http://schemas.openxmlformats.org/officeDocument/2006/relationships/hyperlink" Target="https://dev.azure.com/accenturecio24/CategoryToContract_PR1085/_workitems/edit/1131306" TargetMode="External"/><Relationship Id="rId7" Type="http://schemas.openxmlformats.org/officeDocument/2006/relationships/hyperlink" Target="https://dev.azure.com/accenturecio24/CategoryToContract_PR1085/_workitems/edit/611512/?view=edit" TargetMode="External"/><Relationship Id="rId2" Type="http://schemas.openxmlformats.org/officeDocument/2006/relationships/hyperlink" Target="https://dev.azure.com/accenturecio24/CategoryToContract_PR1085/_workitems/edit/1053552/?view=edit" TargetMode="External"/><Relationship Id="rId16" Type="http://schemas.openxmlformats.org/officeDocument/2006/relationships/hyperlink" Target="https://dev.azure.com/accenturecio24/CategoryToContract_PR1085/_workitems/edit/1077051" TargetMode="External"/><Relationship Id="rId29" Type="http://schemas.openxmlformats.org/officeDocument/2006/relationships/hyperlink" Target="../../../../../../../:x:/r/sites/MMDBuySide-CIOTeam/_layouts/15/Doc.aspx?sourcedoc=%7B588AD647-3C35-4C5E-9884-82D735EF537F%7D&amp;file=TC-MMD_BuySide_R26.2_S6_429239_%5BKTLO%5D_%5BBuy%20Side%5D%20Supplier%20Permitted%20Termination%20Date%20did%20not%20automatically%20increase%20by%20one%20day%20in%20the%20system%20the%20next%20day%201.xlsx&amp;action=default&amp;mobileredirect=true" TargetMode="External"/><Relationship Id="rId11" Type="http://schemas.openxmlformats.org/officeDocument/2006/relationships/hyperlink" Target="https://dev.azure.com/accenturecio24/CategoryToContract_PR1085/_workitems/edit/1082312" TargetMode="External"/><Relationship Id="rId24" Type="http://schemas.openxmlformats.org/officeDocument/2006/relationships/hyperlink" Target="https://dev.azure.com/accenturecio24/CategoryToContract_PR1085/_workitems/edit/1075154" TargetMode="External"/><Relationship Id="rId32" Type="http://schemas.openxmlformats.org/officeDocument/2006/relationships/hyperlink" Target="https://dev.azure.com/accenturecio24/CategoryToContract_PR1085/_workitems/edit/1081986/" TargetMode="External"/><Relationship Id="rId37" Type="http://schemas.openxmlformats.org/officeDocument/2006/relationships/hyperlink" Target="https://dev.azure.com/accenturecio24/CategoryToContract_PR1085/_workitems/edit/1069754" TargetMode="External"/><Relationship Id="rId40" Type="http://schemas.openxmlformats.org/officeDocument/2006/relationships/hyperlink" Target="https://dev.azure.com/accenturecio24/CategoryToContract_PR1085/_workitems/edit/1093963" TargetMode="External"/><Relationship Id="rId45" Type="http://schemas.openxmlformats.org/officeDocument/2006/relationships/hyperlink" Target="https://ts.accenture.com/:x:/r/sites/MMDBuySide-CIOTeam/Shared%20Documents/General/Test%20Team/FY26/FY26.3%20-%20June%20Release/Sprint%2018/TC-MMD_BuySide_R26.3_S18_1097492_Supplier%20Preferred%20Name%20Values%20Translation%20to%20Japansese.xlsx?d=w44c3f5601f194554bea244cc143107ec&amp;csf=1&amp;web=1&amp;e=uWqc6R" TargetMode="External"/><Relationship Id="rId53" Type="http://schemas.openxmlformats.org/officeDocument/2006/relationships/hyperlink" Target="https://dev.azure.com/accenturecio24/CategoryToContract_PR1085/_workitems/edit/1131246" TargetMode="External"/><Relationship Id="rId58" Type="http://schemas.openxmlformats.org/officeDocument/2006/relationships/vmlDrawing" Target="../drawings/vmlDrawing1.vml"/><Relationship Id="rId5" Type="http://schemas.openxmlformats.org/officeDocument/2006/relationships/hyperlink" Target="../../../../../../../:x:/r/sites/MMDBuySide-CIOTeam/_layouts/15/Doc2.aspx?action=edit&amp;sourcedoc=%7B271ebba6-3b35-43d3-aa38-1f2b28aaeef7%7D&amp;wdExp=TEAMS-TREATMENT&amp;web=1" TargetMode="External"/><Relationship Id="rId61" Type="http://schemas.microsoft.com/office/2019/04/relationships/documenttask" Target="../documenttasks/documenttask1.xml"/><Relationship Id="rId19" Type="http://schemas.openxmlformats.org/officeDocument/2006/relationships/hyperlink" Target="../../../../../../../:x:/r/sites/MMDBuySide-CIOTeam/_layouts/15/Doc.aspx?sourcedoc=%7B0AEFFB96-324B-4CCE-94AD-297E536A3EC0%7D&amp;file=TC-MMD_BuySide_R26.3_S16_1061641_%5BMMD%20BuySide%5D%5BR26.3%5D%20Attribute%20Value%20discrepancy%20for%20%27Is%20Contract%20Admin%20Present%27%20for%20business%20status%20Assigned%20or%20Assignment%20Pending%20is%20displayed%20in%20Saved%20Search.xlsx&amp;action=default&amp;mobileredirect=true" TargetMode="External"/><Relationship Id="rId14" Type="http://schemas.openxmlformats.org/officeDocument/2006/relationships/hyperlink" Target="https://dev.azure.com/accenturecio24/CategoryToContract_PR1085/_workitems/edit/1081979" TargetMode="External"/><Relationship Id="rId22" Type="http://schemas.openxmlformats.org/officeDocument/2006/relationships/hyperlink" Target="https://dev.azure.com/accenturecio24/CategoryToContract_PR1085/_workitems/edit/1073960/" TargetMode="External"/><Relationship Id="rId27" Type="http://schemas.openxmlformats.org/officeDocument/2006/relationships/hyperlink" Target="https://dev.azure.com/accenturecio24/CategoryToContract_PR1085/_workitems/edit/999805/" TargetMode="External"/><Relationship Id="rId30" Type="http://schemas.openxmlformats.org/officeDocument/2006/relationships/hyperlink" Target="https://dev.azure.com/accenturecio24/CategoryToContract_PR1085/_workitems/edit/1044636/?view=edit" TargetMode="External"/><Relationship Id="rId35" Type="http://schemas.openxmlformats.org/officeDocument/2006/relationships/hyperlink" Target="https://ts.accenture.com/:x:/r/sites/MMDBuySide-CIOTeam/Shared%20Documents/General/Test%20Team/FY26/FY26.3%20-%20June%20Release/Sprint%2017/Supplier%20Preferred%20Name%20Values%20Translation%20to%20Chinese/TC-MMD_BuySide_R26.3_S17_1071312_Supplier%20Preferred%20Name%20Values%20Translation%20to%20Chinese.xlsx?d=w7c3849e3e89e498b98fe8e09eca60329&amp;csf=1&amp;web=1&amp;e=c2o2uD" TargetMode="External"/><Relationship Id="rId43" Type="http://schemas.openxmlformats.org/officeDocument/2006/relationships/hyperlink" Target="https://dev.azure.com/accenturecio24/CategoryToContract_PR1085/_workitems/edit/1097492" TargetMode="External"/><Relationship Id="rId48" Type="http://schemas.openxmlformats.org/officeDocument/2006/relationships/hyperlink" Target="https://dev.azure.com/accenturecio24/CategoryToContract_PR1085/_workitems/edit/1093873" TargetMode="External"/><Relationship Id="rId56" Type="http://schemas.openxmlformats.org/officeDocument/2006/relationships/hyperlink" Target="https://dev.azure.com/accenturecio24/CategoryToContract_PR1085/_workitems/edit/1131306" TargetMode="External"/><Relationship Id="rId8" Type="http://schemas.openxmlformats.org/officeDocument/2006/relationships/hyperlink" Target="../../../../../../../:x:/r/sites/MMDBuySide-CIOTeam/_layouts/15/Doc.aspx?sourcedoc=%7Ba1bba2f3-bf30-4776-b178-1b403bb8274c%7D&amp;action=edit&amp;wdPreviousSession=f8d6d319-528f-60d7-daa3-7757f9d9b7e6" TargetMode="External"/><Relationship Id="rId51" Type="http://schemas.openxmlformats.org/officeDocument/2006/relationships/hyperlink" Target="https://ts.accenture.com/:x:/r/sites/MMDBuySide-CIOTeam/Shared%20Documents/General/Test%20Team/FY26/FY26.3%20-%20June%20Release/Sprint%2018/TC-MMD_BuySide_R26.3_S18_1093921%20Enhance%20GLN%20Triage%20Requirements%20Routing%20Rules.xlsx?d=we2021bdc05b94f5783333777899e3db8&amp;csf=1&amp;web=1&amp;e=FZRsTq" TargetMode="External"/><Relationship Id="rId3" Type="http://schemas.openxmlformats.org/officeDocument/2006/relationships/hyperlink" Target="https://dev.azure.com/accenturecio24/CategoryToContract_PR1085/_workitems/edit/1053553/?view=edit" TargetMode="External"/><Relationship Id="rId12" Type="http://schemas.openxmlformats.org/officeDocument/2006/relationships/hyperlink" Target="https://dev.azure.com/accenturecio24/CategoryToContract_PR1085/_workitems/edit/1073086" TargetMode="External"/><Relationship Id="rId17" Type="http://schemas.openxmlformats.org/officeDocument/2006/relationships/hyperlink" Target="../../../../../../../:x:/r/sites/MMDBuySide-CIOTeam/_layouts/15/Doc.aspx?sourcedoc=%7B5CFA6035-170C-44D4-BAA8-C1C750C82476%7D&amp;file=TC-MMD_BuySide_R26.3_S16_1054356_Supplier%20Preferred%20Name%20Values%20Translation%20to%20French%2C%20Spanish%2C%20Italian%2C%20German%20and%20Portuguese.xlsx&amp;action=default&amp;mobileredirect=true" TargetMode="External"/><Relationship Id="rId25" Type="http://schemas.openxmlformats.org/officeDocument/2006/relationships/hyperlink" Target="https://dev.azure.com/accenturecio24/CategoryToContract_PR1085/_workitems/edit/186157" TargetMode="External"/><Relationship Id="rId33" Type="http://schemas.openxmlformats.org/officeDocument/2006/relationships/hyperlink" Target="https://dev.azure.com/accenturecio24/CategoryToContract_PR1085/_workitems/edit/1080461" TargetMode="External"/><Relationship Id="rId38" Type="http://schemas.openxmlformats.org/officeDocument/2006/relationships/hyperlink" Target="https://dev.azure.com/accenturecio24/CategoryToContract_PR1085/_workitems/edit/1089866" TargetMode="External"/><Relationship Id="rId46" Type="http://schemas.openxmlformats.org/officeDocument/2006/relationships/hyperlink" Target="https://dev.azure.com/accenturecio24/CategoryToContract_PR1085/_workitems/edit/1101229" TargetMode="External"/><Relationship Id="rId59" Type="http://schemas.openxmlformats.org/officeDocument/2006/relationships/comments" Target="../comments1.xml"/><Relationship Id="rId20" Type="http://schemas.openxmlformats.org/officeDocument/2006/relationships/hyperlink" Target="https://dev.azure.com/accenturecio24/CategoryToContract_PR1085/_workitems/edit/1076912" TargetMode="External"/><Relationship Id="rId41" Type="http://schemas.openxmlformats.org/officeDocument/2006/relationships/hyperlink" Target="https://dev.azure.com/accenturecio24/CategoryToContract_PR1085/_workitems/edit/1099787" TargetMode="External"/><Relationship Id="rId54" Type="http://schemas.openxmlformats.org/officeDocument/2006/relationships/hyperlink" Target="https://dev.azure.com/accenturecio24/CategoryToContract_PR1085/_workitems/edit/1131246" TargetMode="External"/><Relationship Id="rId1" Type="http://schemas.openxmlformats.org/officeDocument/2006/relationships/hyperlink" Target="https://dev.azure.com/accenturecio24/CategoryToContract_PR1085/_workitems/edit/858074/?view=edit" TargetMode="External"/><Relationship Id="rId6" Type="http://schemas.openxmlformats.org/officeDocument/2006/relationships/hyperlink" Target="../../../../../../../:x:/r/sites/MMDBuySide-CIOTeam/_layouts/15/Doc2.aspx?action=edit&amp;sourcedoc=%7B54db2c5b-c87b-4422-8a98-e10fa6976ad8%7D&amp;wdExp=TEAMS-TREATMENT&amp;web=1" TargetMode="External"/><Relationship Id="rId15" Type="http://schemas.openxmlformats.org/officeDocument/2006/relationships/hyperlink" Target="https://dev.azure.com/accenturecio24/CategoryToContract_PR1085/_workitems/edit/1071312" TargetMode="External"/><Relationship Id="rId23" Type="http://schemas.openxmlformats.org/officeDocument/2006/relationships/hyperlink" Target="https://dev.azure.com/accenturecio24/CategoryToContract_PR1085/_workitems/edit/1053554" TargetMode="External"/><Relationship Id="rId28" Type="http://schemas.openxmlformats.org/officeDocument/2006/relationships/hyperlink" Target="../../../../../../../:x:/r/sites/MMDBuySide-CIOTeam/_layouts/15/Doc.aspx?sourcedoc=%7B29F9E054-204F-4021-8B5B-6189D2C8052C%7D&amp;file=TC-MMD_BuySide_R26.2_S12_947493_%5BKTLO%5D%C2%A0%5BMMD%20BuySide%5D%5BR26.1%5D%20Signatory%203%E2%80%9315%2C%20External%20and%20Internal%20witness%20signatory%20is%20visible%20in%20SMA%20for%20Bulgaria%20country%20(should%20not%20be%20visible)%20-%20Copy.xlsx&amp;action=default&amp;mobileredirect=true" TargetMode="External"/><Relationship Id="rId36" Type="http://schemas.openxmlformats.org/officeDocument/2006/relationships/hyperlink" Target="https://ts.accenture.com/:x:/r/sites/MMDBuySide-CIOTeam/Shared%20Documents/General/Test%20Team/FY26/FY26.3%20-%20June%20Release/Sprint%2017/TC-MMD_BuySide_R26.3_S17_1082312_Signed%20ontracts%20should%20retain%20supplier%20preferred%20name%20translation.xlsx?d=wb1527cceea6044a699f697e423f81041&amp;csf=1&amp;web=1&amp;e=yk2qnu" TargetMode="External"/><Relationship Id="rId49" Type="http://schemas.openxmlformats.org/officeDocument/2006/relationships/hyperlink" Target="https://ts.accenture.com/:x:/r/sites/MMDBuySide-CIOTeam/Shared%20Documents/General/Test%20Team/FY26/FY26.3%20-%20June%20Release/Sprint%2018/TC_MMD_BuySide_R26.3_S18_1093873_MMS%20Opportunity%20ID%20on%20Agreement%20Creation%20for%20Single%20Client%20Deals.xlsx?d=w56c88ec73f6247f4aa9c4c831d99c47b&amp;csf=1&amp;web=1&amp;e=0CdOON" TargetMode="External"/><Relationship Id="rId57" Type="http://schemas.openxmlformats.org/officeDocument/2006/relationships/printerSettings" Target="../printerSettings/printerSettings2.bin"/><Relationship Id="rId10" Type="http://schemas.openxmlformats.org/officeDocument/2006/relationships/hyperlink" Target="https://ts.accenture.com/:x:/r/sites/MMDBuySide-CIOTeam/_layouts/15/Doc.aspx?sourcedoc=%7BF36233C9-BE06-42CB-A388-C143314ECD67%7D&amp;file=Data%20Conversion.xlsx&amp;action=default&amp;mobileredirect=true" TargetMode="External"/><Relationship Id="rId31" Type="http://schemas.openxmlformats.org/officeDocument/2006/relationships/hyperlink" Target="https://dev.azure.com/accenturecio24/CategoryToContract_PR1085/_workitems/edit/1041077/?view=edit" TargetMode="External"/><Relationship Id="rId44" Type="http://schemas.openxmlformats.org/officeDocument/2006/relationships/hyperlink" Target="https://dev.azure.com/accenturecio24/CategoryToContract_PR1085/_workitems/edit/1069754" TargetMode="External"/><Relationship Id="rId52" Type="http://schemas.openxmlformats.org/officeDocument/2006/relationships/hyperlink" Target="https://ts.accenture.com/:x:/r/sites/MMDBuySide-CIOTeam/_layouts/15/Doc.aspx?sourcedoc=%7B08CC3605-C7C0-4454-A1D7-5FAE75F8EEAE%7D&amp;file=TC_MMD_Buyside_R26.3_S18_1093963_Technical%20Configuration%20%E2%80%93%20Review%20Functionality%20for%20Single%20Client%20Deal.xlsx&amp;action=default&amp;mobileredirect=true" TargetMode="External"/><Relationship Id="rId60" Type="http://schemas.microsoft.com/office/2017/10/relationships/threadedComment" Target="../threadedComments/threadedComment1.xml"/><Relationship Id="rId4" Type="http://schemas.openxmlformats.org/officeDocument/2006/relationships/hyperlink" Target="../../../../../../../:x:/r/sites/MMDBuySide-CIOTeam/_layouts/15/Doc.aspx?sourcedoc=%7Baa04b14d-7da1-4f29-a394-13eaa4ee4b64%7D&amp;action=edit&amp;wdPreviousSession=1d5965bf-4eec-356c-cd7b-2855b10a4bca" TargetMode="External"/><Relationship Id="rId9" Type="http://schemas.openxmlformats.org/officeDocument/2006/relationships/hyperlink" Target="https://dev.azure.com/accenturecio24/CategoryToContract_PR1085/_workitems/edit/1081979/"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ev.azure.com/accenturecio24/CategoryToContract_PR1085/_workitems/edit/1073960/" TargetMode="External"/><Relationship Id="rId13" Type="http://schemas.openxmlformats.org/officeDocument/2006/relationships/hyperlink" Target="https://dev.azure.com/accenturecio24/CategoryToContract_PR1085/_workitems/edit/1093873" TargetMode="External"/><Relationship Id="rId18" Type="http://schemas.openxmlformats.org/officeDocument/2006/relationships/hyperlink" Target="https://dev.azure.com/accenturecio24/CategoryToContract_PR1085/_workitems/edit/1101229" TargetMode="External"/><Relationship Id="rId3" Type="http://schemas.openxmlformats.org/officeDocument/2006/relationships/hyperlink" Target="../../../../../../../:x:/r/sites/MMDBuySide-CIOTeam/_layouts/15/Doc2.aspx?action=edit&amp;sourcedoc=%7B54db2c5b-c87b-4422-8a98-e10fa6976ad8%7D&amp;wdExp=TEAMS-TREATMENT&amp;web=1" TargetMode="External"/><Relationship Id="rId21" Type="http://schemas.openxmlformats.org/officeDocument/2006/relationships/hyperlink" Target="https://dev.azure.com/accenturecio24/CategoryToContract_PR1085/_workitems/edit/1131306" TargetMode="External"/><Relationship Id="rId7" Type="http://schemas.openxmlformats.org/officeDocument/2006/relationships/hyperlink" Target="https://dev.azure.com/accenturecio24/CategoryToContract_PR1085/_workitems/edit/1053554" TargetMode="External"/><Relationship Id="rId12" Type="http://schemas.openxmlformats.org/officeDocument/2006/relationships/hyperlink" Target="https://dev.azure.com/accenturecio24/CategoryToContract_PR1085/_workitems/edit/1097492" TargetMode="External"/><Relationship Id="rId17" Type="http://schemas.openxmlformats.org/officeDocument/2006/relationships/hyperlink" Target="https://dev.azure.com/accenturecio24/CategoryToContract_PR1085/_workitems/edit/1099816" TargetMode="External"/><Relationship Id="rId2" Type="http://schemas.openxmlformats.org/officeDocument/2006/relationships/hyperlink" Target="../../../../../../../:x:/r/sites/MMDBuySide-CIOTeam/_layouts/15/Doc.aspx?sourcedoc=%7Baa04b14d-7da1-4f29-a394-13eaa4ee4b64%7D&amp;action=edit&amp;wdPreviousSession=1d5965bf-4eec-356c-cd7b-2855b10a4bca" TargetMode="External"/><Relationship Id="rId16" Type="http://schemas.openxmlformats.org/officeDocument/2006/relationships/hyperlink" Target="https://dev.azure.com/accenturecio24/CategoryToContract_PR1085/_workitems/edit/1099787" TargetMode="External"/><Relationship Id="rId20" Type="http://schemas.openxmlformats.org/officeDocument/2006/relationships/hyperlink" Target="https://dev.azure.com/accenturecio24/CategoryToContract_PR1085/_workitems/edit/1099787" TargetMode="External"/><Relationship Id="rId1" Type="http://schemas.openxmlformats.org/officeDocument/2006/relationships/hyperlink" Target="../../../../../../../:x:/r/sites/MMDBuySide-CIOTeam/_layouts/15/Doc.aspx?sourcedoc=%7B29F9E054-204F-4021-8B5B-6189D2C8052C%7D&amp;file=TC-MMD_BuySide_R26.2_S12_947493_%5BKTLO%5D%C2%A0%5BMMD%20BuySide%5D%5BR26.1%5D%20Signatory%203%E2%80%9315%2C%20External%20and%20Internal%20witness%20signatory%20is%20visible%20in%20SMA%20for%20Bulgaria%20country%20(should%20not%20be%20visible)%20-%20Copy.xlsx&amp;action=default&amp;mobileredirect=true" TargetMode="External"/><Relationship Id="rId6" Type="http://schemas.openxmlformats.org/officeDocument/2006/relationships/hyperlink" Target="https://dev.azure.com/accenturecio24/CategoryToContract_PR1085/_workitems/edit/1061641" TargetMode="External"/><Relationship Id="rId11" Type="http://schemas.openxmlformats.org/officeDocument/2006/relationships/hyperlink" Target="https://dev.azure.com/accenturecio24/CategoryToContract_PR1085/_workitems/edit/1089866" TargetMode="External"/><Relationship Id="rId5" Type="http://schemas.openxmlformats.org/officeDocument/2006/relationships/hyperlink" Target="../../../../../../../:x:/r/sites/MMDBuySide-CIOTeam/_layouts/15/Doc.aspx?sourcedoc=%7Ba1bba2f3-bf30-4776-b178-1b403bb8274c%7D&amp;action=edit&amp;wdPreviousSession=f8d6d319-528f-60d7-daa3-7757f9d9b7e6" TargetMode="External"/><Relationship Id="rId15" Type="http://schemas.openxmlformats.org/officeDocument/2006/relationships/hyperlink" Target="https://dev.azure.com/accenturecio24/CategoryToContract_PR1085/_workitems/edit/1093963" TargetMode="External"/><Relationship Id="rId23" Type="http://schemas.openxmlformats.org/officeDocument/2006/relationships/drawing" Target="../drawings/drawing1.xml"/><Relationship Id="rId10" Type="http://schemas.openxmlformats.org/officeDocument/2006/relationships/hyperlink" Target="https://dev.azure.com/accenturecio24/CategoryToContract_PR1085/_workitems/edit/1069754" TargetMode="External"/><Relationship Id="rId19" Type="http://schemas.openxmlformats.org/officeDocument/2006/relationships/hyperlink" Target="https://dev.azure.com/accenturecio24/CategoryToContract_PR1085/_workitems/edit/1088601" TargetMode="External"/><Relationship Id="rId4" Type="http://schemas.openxmlformats.org/officeDocument/2006/relationships/hyperlink" Target="../../../../../../../:x:/r/sites/MMDBuySide-CIOTeam/_layouts/15/Doc2.aspx?action=edit&amp;sourcedoc=%7B271ebba6-3b35-43d3-aa38-1f2b28aaeef7%7D&amp;wdExp=TEAMS-TREATMENT&amp;web=1" TargetMode="External"/><Relationship Id="rId9" Type="http://schemas.openxmlformats.org/officeDocument/2006/relationships/hyperlink" Target="https://ts.accenture.com/:x:/r/sites/MMDBuySide-CIOTeam/Shared%20Documents/General/Test%20Team/FY26/FY26.3%20-%20June%20Release/Sprint%2015/TC-MMD_BuySide_R26.3_S15_1044636_%5BKTLO%5D_%5BBuy%20Side%20R26.2%20S14%5D%20-%20Supplier%20Permitted%20Termination%20Date%20is%20not%20updating%20in%20Save%20Search%20in%20agreement%20list.xlsx?d=w588ad6473c354c5e988482d735ef537f&amp;csf=1&amp;web=1&amp;e=6nV6nN" TargetMode="External"/><Relationship Id="rId14" Type="http://schemas.openxmlformats.org/officeDocument/2006/relationships/hyperlink" Target="https://dev.azure.com/accenturecio24/CategoryToContract_PR1085/_workitems/edit/1093921" TargetMode="External"/><Relationship Id="rId22"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5.bin"/><Relationship Id="rId1" Type="http://schemas.openxmlformats.org/officeDocument/2006/relationships/hyperlink" Target="https://ts.accenture.com/:x:/r/sites/MMDBuySide-CIOTeam/Shared%20Documents/General/Test%20Team/FY26/FY26.3%20-%20June%20Release/Smoke%20Test/TC_MMD_Buy%20Side_R26.3%20June%20Release%20-%20Smoke%20Testing.xlsx?d=w4e6bfdee071e4739a305b8cd65d1af2e&amp;csf=1&amp;web=1&amp;e=RgOdZs" TargetMode="Externa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8" Type="http://schemas.openxmlformats.org/officeDocument/2006/relationships/hyperlink" Target="mailto:emilia.trandafir@accenture.com" TargetMode="External"/><Relationship Id="rId13" Type="http://schemas.openxmlformats.org/officeDocument/2006/relationships/comments" Target="../comments3.xml"/><Relationship Id="rId3" Type="http://schemas.openxmlformats.org/officeDocument/2006/relationships/hyperlink" Target="mailto:ashwini.a.naik@accenture.com" TargetMode="External"/><Relationship Id="rId7" Type="http://schemas.openxmlformats.org/officeDocument/2006/relationships/hyperlink" Target="mailto:anna.mroczkowska@accenture.com" TargetMode="External"/><Relationship Id="rId12" Type="http://schemas.openxmlformats.org/officeDocument/2006/relationships/vmlDrawing" Target="../drawings/vmlDrawing3.vml"/><Relationship Id="rId2" Type="http://schemas.openxmlformats.org/officeDocument/2006/relationships/hyperlink" Target="mailto:alina-liliana.maftei@accenture.com" TargetMode="External"/><Relationship Id="rId1" Type="http://schemas.openxmlformats.org/officeDocument/2006/relationships/hyperlink" Target="mailto:timea.bak@accenture.com" TargetMode="External"/><Relationship Id="rId6" Type="http://schemas.openxmlformats.org/officeDocument/2006/relationships/hyperlink" Target="mailto:oana-elena.soceanu@accenture.com" TargetMode="External"/><Relationship Id="rId11" Type="http://schemas.openxmlformats.org/officeDocument/2006/relationships/drawing" Target="../drawings/drawing3.xml"/><Relationship Id="rId5" Type="http://schemas.openxmlformats.org/officeDocument/2006/relationships/hyperlink" Target="mailto:pallavi.j.verma@accenture.com" TargetMode="External"/><Relationship Id="rId10" Type="http://schemas.openxmlformats.org/officeDocument/2006/relationships/printerSettings" Target="../printerSettings/printerSettings6.bin"/><Relationship Id="rId4" Type="http://schemas.openxmlformats.org/officeDocument/2006/relationships/hyperlink" Target="mailto:dojo.davis@accenture.com" TargetMode="External"/><Relationship Id="rId9" Type="http://schemas.openxmlformats.org/officeDocument/2006/relationships/hyperlink" Target="mailto:ligia.s.seceleanu@accenture.com%20"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x:/r/sites/NextGenACES-iCertisShared/Shared%20Documents/General/MMD%20Downtime%20Log_v3.xlsx?d=wd33e531fdb9447c3a5deb7c1aafbc74a&amp;csf=1&amp;web=1&amp;e=Xui2h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guna.r.jagadeeswaran@accenture.com" TargetMode="External"/><Relationship Id="rId3" Type="http://schemas.openxmlformats.org/officeDocument/2006/relationships/hyperlink" Target="mailto:jonathan.carpio@accenture.com" TargetMode="External"/><Relationship Id="rId7" Type="http://schemas.openxmlformats.org/officeDocument/2006/relationships/hyperlink" Target="mailto:ma.cristine.s.aban@accenture.com" TargetMode="External"/><Relationship Id="rId2" Type="http://schemas.openxmlformats.org/officeDocument/2006/relationships/hyperlink" Target="https://support-sbox7.accenture.com/procurement?id=e2e_guided_questions_page" TargetMode="External"/><Relationship Id="rId1" Type="http://schemas.openxmlformats.org/officeDocument/2006/relationships/hyperlink" Target="https://support-sbox7.accenture.com/nav_to.do?uri=%2Fx_amspi_e2e_task_list.do%3Fsysparm_order_direction%3Ddesc%26sysparm_order%3Dsys_created_on%2520%26sysparm_view%3DAll%26sysparm_userpref_module%3Dad05155d1bde5c98d4c0437cdc4bcb86%26sysparm_clear_stack%3Dtrue" TargetMode="External"/><Relationship Id="rId6" Type="http://schemas.openxmlformats.org/officeDocument/2006/relationships/hyperlink" Target="mailto:arianne.c.abuque@accenture.com" TargetMode="External"/><Relationship Id="rId11" Type="http://schemas.openxmlformats.org/officeDocument/2006/relationships/printerSettings" Target="../printerSettings/printerSettings8.bin"/><Relationship Id="rId5" Type="http://schemas.openxmlformats.org/officeDocument/2006/relationships/hyperlink" Target="mailto:izzy-jhoy.padilla@accenture.com" TargetMode="External"/><Relationship Id="rId10" Type="http://schemas.openxmlformats.org/officeDocument/2006/relationships/hyperlink" Target="mailto:ma.cristine.s.aban@accenture.com" TargetMode="External"/><Relationship Id="rId4" Type="http://schemas.openxmlformats.org/officeDocument/2006/relationships/hyperlink" Target="mailto:jhea.m.m.magoncia@accenture.com" TargetMode="External"/><Relationship Id="rId9" Type="http://schemas.openxmlformats.org/officeDocument/2006/relationships/hyperlink" Target="mailto:elealeh.tan@accenture.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arianne.c.abuque@accenture.com" TargetMode="External"/><Relationship Id="rId13" Type="http://schemas.openxmlformats.org/officeDocument/2006/relationships/hyperlink" Target="mailto:izzy-jhoy.padilla@accenture.com" TargetMode="External"/><Relationship Id="rId18" Type="http://schemas.openxmlformats.org/officeDocument/2006/relationships/hyperlink" Target="mailto:jhea.m.m.magoncia@accenture.com" TargetMode="External"/><Relationship Id="rId26" Type="http://schemas.openxmlformats.org/officeDocument/2006/relationships/hyperlink" Target="mailto:arianne.c.abuque@accenture.com" TargetMode="External"/><Relationship Id="rId3" Type="http://schemas.openxmlformats.org/officeDocument/2006/relationships/hyperlink" Target="mailto:jeanne.p.garlota@accenture.com" TargetMode="External"/><Relationship Id="rId21" Type="http://schemas.openxmlformats.org/officeDocument/2006/relationships/hyperlink" Target="mailto:ma.cristine.s.aban@accenture.com" TargetMode="External"/><Relationship Id="rId7" Type="http://schemas.openxmlformats.org/officeDocument/2006/relationships/hyperlink" Target="mailto:izzy-jhoy.padilla@accenture.com" TargetMode="External"/><Relationship Id="rId12" Type="http://schemas.openxmlformats.org/officeDocument/2006/relationships/hyperlink" Target="mailto:jhea.m.m.magoncia@accenture.com" TargetMode="External"/><Relationship Id="rId17" Type="http://schemas.openxmlformats.org/officeDocument/2006/relationships/hyperlink" Target="mailto:jonathan.carpio@accenture.com" TargetMode="External"/><Relationship Id="rId25" Type="http://schemas.openxmlformats.org/officeDocument/2006/relationships/hyperlink" Target="mailto:izzy-jhoy.padilla@accenture.com" TargetMode="External"/><Relationship Id="rId2" Type="http://schemas.openxmlformats.org/officeDocument/2006/relationships/hyperlink" Target="mailto:T48176.01.BuyTstAuto@accenture.com" TargetMode="External"/><Relationship Id="rId16" Type="http://schemas.openxmlformats.org/officeDocument/2006/relationships/hyperlink" Target="mailto:guna.r.jagadeeswaran@accenture.com" TargetMode="External"/><Relationship Id="rId20" Type="http://schemas.openxmlformats.org/officeDocument/2006/relationships/hyperlink" Target="mailto:arianne.c.abuque@accenture.com" TargetMode="External"/><Relationship Id="rId29" Type="http://schemas.openxmlformats.org/officeDocument/2006/relationships/printerSettings" Target="../printerSettings/printerSettings9.bin"/><Relationship Id="rId1" Type="http://schemas.openxmlformats.org/officeDocument/2006/relationships/hyperlink" Target="mailto:princess.d.medroso@accenture.com" TargetMode="External"/><Relationship Id="rId6" Type="http://schemas.openxmlformats.org/officeDocument/2006/relationships/hyperlink" Target="mailto:jhea.m.m.magoncia@accenture.com" TargetMode="External"/><Relationship Id="rId11" Type="http://schemas.openxmlformats.org/officeDocument/2006/relationships/hyperlink" Target="mailto:jonathan.carpio@accenture.com" TargetMode="External"/><Relationship Id="rId24" Type="http://schemas.openxmlformats.org/officeDocument/2006/relationships/hyperlink" Target="mailto:jhea.m.m.magoncia@accenture.com" TargetMode="External"/><Relationship Id="rId5" Type="http://schemas.openxmlformats.org/officeDocument/2006/relationships/hyperlink" Target="mailto:jonathan.carpio@accenture.com" TargetMode="External"/><Relationship Id="rId15" Type="http://schemas.openxmlformats.org/officeDocument/2006/relationships/hyperlink" Target="mailto:ma.cristine.s.aban@accenture.com" TargetMode="External"/><Relationship Id="rId23" Type="http://schemas.openxmlformats.org/officeDocument/2006/relationships/hyperlink" Target="mailto:jonathan.carpio@accenture.com" TargetMode="External"/><Relationship Id="rId28" Type="http://schemas.openxmlformats.org/officeDocument/2006/relationships/hyperlink" Target="mailto:guna.r.jagadeeswaran@accenture.com" TargetMode="External"/><Relationship Id="rId10" Type="http://schemas.openxmlformats.org/officeDocument/2006/relationships/hyperlink" Target="mailto:guna.r.jagadeeswaran@accenture.com" TargetMode="External"/><Relationship Id="rId19" Type="http://schemas.openxmlformats.org/officeDocument/2006/relationships/hyperlink" Target="mailto:izzy-jhoy.padilla@accenture.com" TargetMode="External"/><Relationship Id="rId4" Type="http://schemas.openxmlformats.org/officeDocument/2006/relationships/hyperlink" Target="mailto:angelica.tindoc@accenture.com" TargetMode="External"/><Relationship Id="rId9" Type="http://schemas.openxmlformats.org/officeDocument/2006/relationships/hyperlink" Target="mailto:ma.cristine.s.aban@accenture.com" TargetMode="External"/><Relationship Id="rId14" Type="http://schemas.openxmlformats.org/officeDocument/2006/relationships/hyperlink" Target="mailto:arianne.c.abuque@accenture.com" TargetMode="External"/><Relationship Id="rId22" Type="http://schemas.openxmlformats.org/officeDocument/2006/relationships/hyperlink" Target="mailto:guna.r.jagadeeswaran@accenture.com" TargetMode="External"/><Relationship Id="rId27" Type="http://schemas.openxmlformats.org/officeDocument/2006/relationships/hyperlink" Target="mailto:ma.cristine.s.aban@accenture.com" TargetMode="External"/><Relationship Id="rId30"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8" Type="http://schemas.openxmlformats.org/officeDocument/2006/relationships/hyperlink" Target="https://dev.azure.com/accenturecio24/CategoryToContract_PR1085/_workitems/edit/1118820" TargetMode="External"/><Relationship Id="rId13" Type="http://schemas.openxmlformats.org/officeDocument/2006/relationships/hyperlink" Target="https://dev.azure.com/accenturecio24/CategoryToContract_PR1085/_workitems/edit/1129749" TargetMode="External"/><Relationship Id="rId3" Type="http://schemas.openxmlformats.org/officeDocument/2006/relationships/hyperlink" Target="https://dev.azure.com/accenturecio24/CategoryToContract_PR1085/_workitems/edit/1061641" TargetMode="External"/><Relationship Id="rId7" Type="http://schemas.openxmlformats.org/officeDocument/2006/relationships/hyperlink" Target="https://dev.azure.com/accenturecio24/CategoryToContract_PR1085/_workitems/edit/1110287" TargetMode="External"/><Relationship Id="rId12" Type="http://schemas.openxmlformats.org/officeDocument/2006/relationships/hyperlink" Target="https://dev.azure.com/accenturecio24/CategoryToContract_PR1085/_workitems/edit/1128512" TargetMode="External"/><Relationship Id="rId2" Type="http://schemas.openxmlformats.org/officeDocument/2006/relationships/hyperlink" Target="https://dev.azure.com/accenturecio24/CategoryToContract_PR1085/_workitems/edit/1044636" TargetMode="External"/><Relationship Id="rId1" Type="http://schemas.openxmlformats.org/officeDocument/2006/relationships/hyperlink" Target="https://dev.azure.com/accenturecio24/CategoryToContract_PR1085/_workitems/edit/1041077" TargetMode="External"/><Relationship Id="rId6" Type="http://schemas.openxmlformats.org/officeDocument/2006/relationships/hyperlink" Target="https://dev.azure.com/accenturecio24/CategoryToContract_PR1085/_workitems/edit/1100995" TargetMode="External"/><Relationship Id="rId11" Type="http://schemas.openxmlformats.org/officeDocument/2006/relationships/hyperlink" Target="https://dev.azure.com/accenturecio24/CategoryToContract_PR1085/_workitems/edit/1119900" TargetMode="External"/><Relationship Id="rId5" Type="http://schemas.openxmlformats.org/officeDocument/2006/relationships/hyperlink" Target="https://dev.azure.com/accenturecio24/CategoryToContract_PR1085/_workitems/edit/1087190" TargetMode="External"/><Relationship Id="rId15" Type="http://schemas.openxmlformats.org/officeDocument/2006/relationships/hyperlink" Target="https://dev.azure.com/accenturecio24/CategoryToContract_PR1085/_workitems/edit/1117652" TargetMode="External"/><Relationship Id="rId10" Type="http://schemas.openxmlformats.org/officeDocument/2006/relationships/hyperlink" Target="https://dev.azure.com/accenturecio24/CategoryToContract_PR1085/_workitems/edit/1129099" TargetMode="External"/><Relationship Id="rId4" Type="http://schemas.openxmlformats.org/officeDocument/2006/relationships/hyperlink" Target="https://dev.azure.com/accenturecio24/CategoryToContract_PR1085/_workitems/edit/1083765" TargetMode="External"/><Relationship Id="rId9" Type="http://schemas.openxmlformats.org/officeDocument/2006/relationships/hyperlink" Target="https://dev.azure.com/accenturecio24/CategoryToContract_PR1085/_workitems/edit/1129174" TargetMode="External"/><Relationship Id="rId14" Type="http://schemas.openxmlformats.org/officeDocument/2006/relationships/hyperlink" Target="https://dev.azure.com/accenturecio24/CategoryToContract_PR1085/_workitems/edit/11081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124D-1600-4569-8C5E-231DC87979EB}">
  <sheetPr codeName="Sheet1">
    <tabColor theme="1" tint="4.9989318521683403E-2"/>
  </sheetPr>
  <dimension ref="B2:C49"/>
  <sheetViews>
    <sheetView showGridLines="0" topLeftCell="A4" workbookViewId="0">
      <selection activeCell="L23" sqref="L23"/>
    </sheetView>
  </sheetViews>
  <sheetFormatPr defaultRowHeight="15"/>
  <cols>
    <col min="2" max="2" width="37.42578125" customWidth="1"/>
    <col min="3" max="3" width="58.140625" customWidth="1"/>
  </cols>
  <sheetData>
    <row r="2" spans="2:3">
      <c r="B2" s="798" t="s">
        <v>0</v>
      </c>
      <c r="C2" s="798"/>
    </row>
    <row r="3" spans="2:3">
      <c r="B3" s="797" t="s">
        <v>1</v>
      </c>
      <c r="C3" s="797"/>
    </row>
    <row r="4" spans="2:3">
      <c r="B4" s="1" t="s">
        <v>2</v>
      </c>
      <c r="C4" s="2" t="s">
        <v>3</v>
      </c>
    </row>
    <row r="5" spans="2:3">
      <c r="B5" s="1" t="s">
        <v>4</v>
      </c>
      <c r="C5" s="2" t="s">
        <v>5</v>
      </c>
    </row>
    <row r="6" spans="2:3">
      <c r="B6" s="1" t="s">
        <v>6</v>
      </c>
      <c r="C6" s="2" t="s">
        <v>7</v>
      </c>
    </row>
    <row r="7" spans="2:3">
      <c r="B7" s="797" t="s">
        <v>8</v>
      </c>
      <c r="C7" s="797"/>
    </row>
    <row r="8" spans="2:3">
      <c r="B8" s="1" t="s">
        <v>9</v>
      </c>
      <c r="C8" s="1" t="s">
        <v>10</v>
      </c>
    </row>
    <row r="9" spans="2:3">
      <c r="B9" s="1" t="s">
        <v>11</v>
      </c>
      <c r="C9" s="1"/>
    </row>
    <row r="10" spans="2:3">
      <c r="B10" s="1" t="s">
        <v>12</v>
      </c>
      <c r="C10" s="1"/>
    </row>
    <row r="11" spans="2:3">
      <c r="B11" s="1" t="s">
        <v>13</v>
      </c>
      <c r="C11" s="1"/>
    </row>
    <row r="12" spans="2:3">
      <c r="B12" s="1" t="s">
        <v>14</v>
      </c>
      <c r="C12" s="1"/>
    </row>
    <row r="13" spans="2:3">
      <c r="B13" s="797" t="s">
        <v>15</v>
      </c>
      <c r="C13" s="797"/>
    </row>
    <row r="14" spans="2:3">
      <c r="B14" s="1" t="s">
        <v>16</v>
      </c>
      <c r="C14" s="1"/>
    </row>
    <row r="15" spans="2:3">
      <c r="B15" s="1" t="s">
        <v>17</v>
      </c>
      <c r="C15" s="1"/>
    </row>
    <row r="16" spans="2:3">
      <c r="B16" s="1" t="s">
        <v>18</v>
      </c>
      <c r="C16" s="1"/>
    </row>
    <row r="17" spans="2:3">
      <c r="B17" s="1" t="s">
        <v>19</v>
      </c>
      <c r="C17" s="1"/>
    </row>
    <row r="18" spans="2:3">
      <c r="B18" s="1" t="s">
        <v>20</v>
      </c>
      <c r="C18" s="1"/>
    </row>
    <row r="19" spans="2:3">
      <c r="B19" s="797" t="s">
        <v>21</v>
      </c>
      <c r="C19" s="797"/>
    </row>
    <row r="20" spans="2:3">
      <c r="B20" s="1" t="s">
        <v>22</v>
      </c>
      <c r="C20" s="2" t="s">
        <v>22</v>
      </c>
    </row>
    <row r="21" spans="2:3">
      <c r="B21" s="1" t="s">
        <v>23</v>
      </c>
      <c r="C21" s="2" t="s">
        <v>24</v>
      </c>
    </row>
    <row r="22" spans="2:3">
      <c r="B22" s="1" t="s">
        <v>25</v>
      </c>
      <c r="C22" s="2" t="s">
        <v>26</v>
      </c>
    </row>
    <row r="23" spans="2:3">
      <c r="B23" s="1" t="s">
        <v>27</v>
      </c>
      <c r="C23" s="2" t="s">
        <v>28</v>
      </c>
    </row>
    <row r="24" spans="2:3">
      <c r="B24" s="1" t="s">
        <v>29</v>
      </c>
      <c r="C24" s="2" t="s">
        <v>30</v>
      </c>
    </row>
    <row r="25" spans="2:3">
      <c r="B25" s="1" t="s">
        <v>31</v>
      </c>
      <c r="C25" s="2" t="s">
        <v>31</v>
      </c>
    </row>
    <row r="26" spans="2:3">
      <c r="B26" s="1" t="s">
        <v>32</v>
      </c>
      <c r="C26" s="2" t="s">
        <v>32</v>
      </c>
    </row>
    <row r="27" spans="2:3">
      <c r="B27" s="1" t="s">
        <v>33</v>
      </c>
      <c r="C27" s="2" t="s">
        <v>34</v>
      </c>
    </row>
    <row r="28" spans="2:3">
      <c r="B28" s="1" t="s">
        <v>35</v>
      </c>
      <c r="C28" s="2"/>
    </row>
    <row r="29" spans="2:3">
      <c r="B29" s="1"/>
      <c r="C29" s="2"/>
    </row>
    <row r="30" spans="2:3">
      <c r="B30" s="1"/>
      <c r="C30" s="2"/>
    </row>
    <row r="31" spans="2:3">
      <c r="B31" s="797" t="s">
        <v>36</v>
      </c>
      <c r="C31" s="797"/>
    </row>
    <row r="32" spans="2:3">
      <c r="B32" s="1" t="s">
        <v>36</v>
      </c>
      <c r="C32" s="2" t="s">
        <v>37</v>
      </c>
    </row>
    <row r="33" spans="2:3">
      <c r="B33" s="1" t="s">
        <v>38</v>
      </c>
      <c r="C33" s="2" t="s">
        <v>38</v>
      </c>
    </row>
    <row r="34" spans="2:3">
      <c r="B34" s="1" t="s">
        <v>39</v>
      </c>
      <c r="C34" s="2" t="s">
        <v>40</v>
      </c>
    </row>
    <row r="35" spans="2:3">
      <c r="B35" s="1" t="s">
        <v>41</v>
      </c>
      <c r="C35" s="2" t="s">
        <v>42</v>
      </c>
    </row>
    <row r="36" spans="2:3">
      <c r="B36" s="1" t="s">
        <v>43</v>
      </c>
      <c r="C36" s="2" t="s">
        <v>44</v>
      </c>
    </row>
    <row r="41" spans="2:3" ht="15.75" thickBot="1">
      <c r="B41" s="797" t="s">
        <v>45</v>
      </c>
      <c r="C41" s="797"/>
    </row>
    <row r="42" spans="2:3" ht="15.75" thickBot="1">
      <c r="B42" s="3" t="s">
        <v>46</v>
      </c>
      <c r="C42" s="3" t="s">
        <v>47</v>
      </c>
    </row>
    <row r="43" spans="2:3" ht="21.75" thickBot="1">
      <c r="B43" s="4" t="s">
        <v>48</v>
      </c>
      <c r="C43" s="5" t="s">
        <v>49</v>
      </c>
    </row>
    <row r="44" spans="2:3" ht="21.75" thickBot="1">
      <c r="B44" s="4" t="s">
        <v>50</v>
      </c>
      <c r="C44" s="5" t="s">
        <v>51</v>
      </c>
    </row>
    <row r="45" spans="2:3" ht="15.75" thickBot="1">
      <c r="B45" s="4" t="s">
        <v>52</v>
      </c>
      <c r="C45" s="5" t="s">
        <v>53</v>
      </c>
    </row>
    <row r="46" spans="2:3" ht="15.75" thickBot="1">
      <c r="B46" s="4" t="s">
        <v>54</v>
      </c>
      <c r="C46" s="5" t="s">
        <v>55</v>
      </c>
    </row>
    <row r="47" spans="2:3" ht="15.75" thickBot="1">
      <c r="B47" s="6" t="s">
        <v>56</v>
      </c>
      <c r="C47" s="5" t="s">
        <v>57</v>
      </c>
    </row>
    <row r="48" spans="2:3" ht="122.25" customHeight="1" thickBot="1">
      <c r="B48" s="7" t="e" vm="1">
        <v>#VALUE!</v>
      </c>
      <c r="C48" s="5" t="s">
        <v>58</v>
      </c>
    </row>
    <row r="49" spans="2:3">
      <c r="B49" s="8" t="s">
        <v>59</v>
      </c>
      <c r="C49" s="9" t="s">
        <v>60</v>
      </c>
    </row>
  </sheetData>
  <mergeCells count="7">
    <mergeCell ref="B41:C41"/>
    <mergeCell ref="B2:C2"/>
    <mergeCell ref="B3:C3"/>
    <mergeCell ref="B7:C7"/>
    <mergeCell ref="B13:C13"/>
    <mergeCell ref="B19:C19"/>
    <mergeCell ref="B31:C31"/>
  </mergeCells>
  <hyperlinks>
    <hyperlink ref="C23" r:id="rId1" xr:uid="{1898D9B2-F131-433E-BE4A-016FB2EFA454}"/>
    <hyperlink ref="C22" r:id="rId2" xr:uid="{09CFFED0-2B1E-4919-8E14-A1A8EF74C366}"/>
    <hyperlink ref="C24" r:id="rId3" xr:uid="{A7A910F0-B235-42A1-8E15-BAE2AD946013}"/>
    <hyperlink ref="C21" r:id="rId4" xr:uid="{4FED7332-FF28-4475-AA6E-C78CCFDD49E6}"/>
    <hyperlink ref="C25" r:id="rId5" xr:uid="{CFB583A7-16FA-43E5-9201-49F56E3DB5C5}"/>
    <hyperlink ref="C26" r:id="rId6" xr:uid="{7DF90C31-566C-4360-84EB-4D2BA803F3D1}"/>
    <hyperlink ref="C20" r:id="rId7" xr:uid="{C1A4C63B-2F41-4F7E-8DB0-40A411FA8F70}"/>
    <hyperlink ref="C4" r:id="rId8" xr:uid="{4AEC9719-9117-4118-9FE8-9634ADE926C9}"/>
    <hyperlink ref="C5" r:id="rId9" xr:uid="{217822CF-0E8F-4FD5-AF35-07AF9DB37C96}"/>
    <hyperlink ref="C6" r:id="rId10" xr:uid="{AB662904-CC2D-416F-9A15-8A9A2AC5BD5E}"/>
    <hyperlink ref="C27" r:id="rId11" xr:uid="{1406D083-1AAB-4A81-880C-7E7838DB0D37}"/>
    <hyperlink ref="C32" r:id="rId12" display="../../../../../../../:f:/r/sites/MMDBuySide-CIOTeam/Shared Documents/General/Automation?csf=1&amp;web=1&amp;e=jqHn8a" xr:uid="{3431AC83-6243-4BFD-BCD5-81EF1A4121EE}"/>
    <hyperlink ref="C33" r:id="rId13" xr:uid="{2FD10FBD-6888-4C83-843D-B182BBA697A0}"/>
    <hyperlink ref="C34" r:id="rId14" display="https://myoffice.accenture.com/:x:/r/personal/ceredion_jr_q_bascon_accenture_com/_layouts/15/Doc.aspx?sourcedoc=%7B19CD6139-B159-4A68-AB00-93A037D7C57B%7D&amp;file=FY25%20Automation%20APAJ.xlsx&amp;fromShare=true&amp;action=default&amp;mobileredirect=true" xr:uid="{3D9F34C3-6127-4D08-BCF1-49EC09071ED6}"/>
    <hyperlink ref="C35" r:id="rId15" xr:uid="{3C152DE4-E2BB-4AAC-BDD3-22CB0BCD59C1}"/>
    <hyperlink ref="C36" r:id="rId16" display="../../../../../../../:x:/r/sites/MMDBuySide-CIOTeam/_layouts/15/Doc.aspx?sourcedoc=%7B78DA9174-BC85-42BD-B7BA-5FC5C7E348A9%7D&amp;file=FY25%20MMD%20Automation%20Tracker.xlsx&amp;action=default&amp;mobileredirect=true" xr:uid="{B422DBFA-5043-46FF-B019-90B3FD8B0E41}"/>
    <hyperlink ref="B47" r:id="rId17" display="mailto:CIO.ProcPlus.ServiceNowL2Ops@accenture.com" xr:uid="{ADB34EAA-BC0E-497F-A7E8-CB00D553833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6A89-A01F-43C8-AFDF-3ED89AE35407}">
  <sheetPr codeName="Sheet2">
    <tabColor theme="5" tint="0.39997558519241921"/>
  </sheetPr>
  <dimension ref="A1:E12"/>
  <sheetViews>
    <sheetView showGridLines="0" topLeftCell="A7" zoomScale="115" zoomScaleNormal="115" workbookViewId="0">
      <selection activeCell="B8" sqref="B8"/>
    </sheetView>
  </sheetViews>
  <sheetFormatPr defaultColWidth="9.140625" defaultRowHeight="12"/>
  <cols>
    <col min="1" max="1" width="39.28515625" style="220" customWidth="1"/>
    <col min="2" max="2" width="64.5703125" style="220" customWidth="1"/>
    <col min="3" max="3" width="22.42578125" style="220" customWidth="1"/>
    <col min="4" max="4" width="24.140625" style="220" customWidth="1"/>
    <col min="5" max="5" width="32.7109375" style="220" customWidth="1"/>
    <col min="6" max="16384" width="9.140625" style="220"/>
  </cols>
  <sheetData>
    <row r="1" spans="1:5">
      <c r="A1" s="278" t="s">
        <v>61</v>
      </c>
      <c r="B1" s="278" t="s">
        <v>62</v>
      </c>
      <c r="C1" s="279" t="s">
        <v>63</v>
      </c>
      <c r="D1" s="279" t="s">
        <v>64</v>
      </c>
      <c r="E1" s="278" t="s">
        <v>65</v>
      </c>
    </row>
    <row r="2" spans="1:5" ht="97.5" customHeight="1">
      <c r="A2" s="280" t="s">
        <v>66</v>
      </c>
      <c r="B2" s="281" t="s">
        <v>67</v>
      </c>
      <c r="C2" s="282" t="s">
        <v>68</v>
      </c>
      <c r="D2" s="282" t="s">
        <v>69</v>
      </c>
      <c r="E2" s="283" t="s">
        <v>70</v>
      </c>
    </row>
    <row r="3" spans="1:5" ht="128.25" customHeight="1">
      <c r="A3" s="280" t="s">
        <v>71</v>
      </c>
      <c r="B3" s="281" t="s">
        <v>72</v>
      </c>
      <c r="C3" s="284" t="s">
        <v>73</v>
      </c>
      <c r="D3" s="284" t="s">
        <v>74</v>
      </c>
      <c r="E3" s="285"/>
    </row>
    <row r="4" spans="1:5" ht="251.25" customHeight="1">
      <c r="A4" s="280" t="s">
        <v>75</v>
      </c>
      <c r="B4" s="281" t="s">
        <v>76</v>
      </c>
      <c r="C4" s="284" t="s">
        <v>77</v>
      </c>
      <c r="D4" s="284" t="s">
        <v>78</v>
      </c>
      <c r="E4" s="285"/>
    </row>
    <row r="5" spans="1:5" ht="167.25" customHeight="1">
      <c r="A5" s="280" t="s">
        <v>79</v>
      </c>
      <c r="B5" s="281" t="s">
        <v>80</v>
      </c>
      <c r="C5" s="282" t="s">
        <v>81</v>
      </c>
      <c r="D5" s="282" t="s">
        <v>82</v>
      </c>
      <c r="E5" s="285"/>
    </row>
    <row r="6" spans="1:5" ht="119.25" customHeight="1">
      <c r="A6" s="280" t="s">
        <v>83</v>
      </c>
      <c r="B6" s="281" t="s">
        <v>84</v>
      </c>
      <c r="C6" s="282" t="s">
        <v>85</v>
      </c>
      <c r="D6" s="282" t="s">
        <v>86</v>
      </c>
      <c r="E6" s="285"/>
    </row>
    <row r="7" spans="1:5" ht="198" customHeight="1">
      <c r="A7" s="280" t="s">
        <v>87</v>
      </c>
      <c r="B7" s="281" t="s">
        <v>88</v>
      </c>
      <c r="C7" s="282" t="s">
        <v>68</v>
      </c>
      <c r="D7" s="282" t="s">
        <v>89</v>
      </c>
      <c r="E7" s="285"/>
    </row>
    <row r="8" spans="1:5" ht="330.75" customHeight="1">
      <c r="A8" s="280" t="s">
        <v>90</v>
      </c>
      <c r="B8" s="281" t="s">
        <v>91</v>
      </c>
      <c r="C8" s="282" t="s">
        <v>92</v>
      </c>
      <c r="D8" s="282" t="s">
        <v>89</v>
      </c>
      <c r="E8" s="285"/>
    </row>
    <row r="9" spans="1:5" ht="60" customHeight="1">
      <c r="A9" s="286" t="s">
        <v>93</v>
      </c>
      <c r="B9" s="287" t="s">
        <v>94</v>
      </c>
      <c r="C9" s="282" t="s">
        <v>89</v>
      </c>
      <c r="D9" s="282"/>
      <c r="E9" s="285"/>
    </row>
    <row r="10" spans="1:5" ht="60" customHeight="1">
      <c r="A10" s="288" t="s">
        <v>95</v>
      </c>
      <c r="B10" s="287" t="s">
        <v>96</v>
      </c>
      <c r="C10" s="282" t="s">
        <v>89</v>
      </c>
      <c r="D10" s="282"/>
      <c r="E10" s="289"/>
    </row>
    <row r="11" spans="1:5" ht="36">
      <c r="A11" s="288" t="s">
        <v>97</v>
      </c>
      <c r="B11" s="287" t="s">
        <v>98</v>
      </c>
      <c r="C11" s="282" t="s">
        <v>92</v>
      </c>
      <c r="D11" s="282" t="s">
        <v>89</v>
      </c>
      <c r="E11" s="289"/>
    </row>
    <row r="12" spans="1:5">
      <c r="A12" s="219"/>
    </row>
  </sheetData>
  <hyperlinks>
    <hyperlink ref="E2" r:id="rId1" display="MMD Downtime Log" xr:uid="{E3269521-54FE-4B1E-A9ED-A90BE34EDBD8}"/>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1888-C378-46CF-8ECA-FC2F79B2EF19}">
  <sheetPr codeName="Sheet3" filterMode="1">
    <tabColor rgb="FF7030A0"/>
  </sheetPr>
  <dimension ref="A1:P45"/>
  <sheetViews>
    <sheetView showGridLines="0" topLeftCell="H1" zoomScale="85" zoomScaleNormal="85" workbookViewId="0">
      <pane ySplit="1" topLeftCell="A23" activePane="bottomLeft" state="frozen"/>
      <selection pane="bottomLeft" activeCell="C1" sqref="C1"/>
    </sheetView>
  </sheetViews>
  <sheetFormatPr defaultColWidth="14.7109375" defaultRowHeight="12" customHeight="1"/>
  <cols>
    <col min="1" max="2" width="23.7109375" style="15" customWidth="1"/>
    <col min="3" max="3" width="14.7109375" style="15" customWidth="1"/>
    <col min="4" max="4" width="16.42578125" style="16" customWidth="1"/>
    <col min="5" max="5" width="12.7109375" style="16" customWidth="1"/>
    <col min="6" max="6" width="37.85546875" style="269" customWidth="1"/>
    <col min="7" max="7" width="27.85546875" style="16" customWidth="1"/>
    <col min="8" max="8" width="35.85546875" style="17" customWidth="1"/>
    <col min="9" max="9" width="60.28515625" style="12" customWidth="1"/>
    <col min="10" max="10" width="53.85546875" style="18" customWidth="1"/>
    <col min="11" max="11" width="35.5703125" style="18" customWidth="1"/>
    <col min="12" max="12" width="40.42578125" style="18" customWidth="1"/>
    <col min="13" max="13" width="32" style="19" customWidth="1"/>
    <col min="14" max="14" width="14.7109375" style="11"/>
    <col min="15" max="15" width="14.7109375" style="14"/>
    <col min="16" max="16384" width="14.7109375" style="437"/>
  </cols>
  <sheetData>
    <row r="1" spans="1:16" ht="42.75" customHeight="1">
      <c r="A1" s="316" t="s">
        <v>99</v>
      </c>
      <c r="B1" s="316" t="s">
        <v>100</v>
      </c>
      <c r="C1" s="316" t="s">
        <v>101</v>
      </c>
      <c r="D1" s="322" t="s">
        <v>102</v>
      </c>
      <c r="E1" s="322" t="s">
        <v>103</v>
      </c>
      <c r="F1" s="316" t="s">
        <v>104</v>
      </c>
      <c r="G1" s="317" t="s">
        <v>105</v>
      </c>
      <c r="H1" s="317" t="s">
        <v>106</v>
      </c>
      <c r="I1" s="317" t="s">
        <v>107</v>
      </c>
      <c r="J1" s="317" t="s">
        <v>108</v>
      </c>
      <c r="K1" s="317" t="s">
        <v>109</v>
      </c>
      <c r="L1" s="316" t="s">
        <v>110</v>
      </c>
      <c r="M1" s="316" t="s">
        <v>65</v>
      </c>
      <c r="N1" s="316" t="s">
        <v>111</v>
      </c>
      <c r="O1" s="448" t="s">
        <v>112</v>
      </c>
    </row>
    <row r="2" spans="1:16" ht="284.25" customHeight="1">
      <c r="A2" s="305" t="s">
        <v>113</v>
      </c>
      <c r="B2" s="305" t="s">
        <v>114</v>
      </c>
      <c r="C2" s="306">
        <v>15</v>
      </c>
      <c r="D2" s="394">
        <v>611512</v>
      </c>
      <c r="E2" s="395" t="s">
        <v>115</v>
      </c>
      <c r="F2" s="309" t="s">
        <v>116</v>
      </c>
      <c r="G2" s="310" t="s">
        <v>117</v>
      </c>
      <c r="H2" s="394" t="s">
        <v>118</v>
      </c>
      <c r="I2" s="315" t="s">
        <v>119</v>
      </c>
      <c r="J2" s="372"/>
      <c r="K2" s="311"/>
      <c r="L2" s="315"/>
      <c r="M2" s="320"/>
      <c r="N2" s="441"/>
      <c r="O2" s="449"/>
      <c r="P2" s="445"/>
    </row>
    <row r="3" spans="1:16" s="438" customFormat="1" ht="53.25" hidden="1" customHeight="1">
      <c r="A3" s="303"/>
      <c r="B3" s="298"/>
      <c r="C3" s="299">
        <v>15</v>
      </c>
      <c r="D3" s="304">
        <v>854801</v>
      </c>
      <c r="E3" s="300" t="s">
        <v>115</v>
      </c>
      <c r="F3" s="369" t="s">
        <v>120</v>
      </c>
      <c r="G3" s="310" t="s">
        <v>121</v>
      </c>
      <c r="H3" s="301"/>
      <c r="I3" s="370"/>
      <c r="J3" s="370"/>
      <c r="K3" s="302"/>
      <c r="L3" s="302"/>
      <c r="M3" s="318" t="s">
        <v>122</v>
      </c>
      <c r="N3" s="436"/>
      <c r="O3" s="450"/>
      <c r="P3" s="446"/>
    </row>
    <row r="4" spans="1:16" ht="222.75" customHeight="1">
      <c r="A4" s="305" t="s">
        <v>68</v>
      </c>
      <c r="B4" s="305" t="s">
        <v>123</v>
      </c>
      <c r="C4" s="306">
        <v>15</v>
      </c>
      <c r="D4" s="307">
        <v>858074</v>
      </c>
      <c r="E4" s="308" t="s">
        <v>115</v>
      </c>
      <c r="F4" s="309" t="s">
        <v>124</v>
      </c>
      <c r="G4" s="310" t="s">
        <v>117</v>
      </c>
      <c r="H4" s="314" t="s">
        <v>125</v>
      </c>
      <c r="I4" s="696" t="s">
        <v>126</v>
      </c>
      <c r="J4" s="321"/>
      <c r="K4" s="323" t="s">
        <v>127</v>
      </c>
      <c r="L4" s="371" t="s">
        <v>128</v>
      </c>
      <c r="M4" s="319" t="s">
        <v>129</v>
      </c>
      <c r="N4" s="441"/>
      <c r="O4" s="449"/>
      <c r="P4" s="445"/>
    </row>
    <row r="5" spans="1:16" ht="210.95" customHeight="1">
      <c r="A5" s="305" t="s">
        <v>113</v>
      </c>
      <c r="B5" s="305" t="s">
        <v>85</v>
      </c>
      <c r="C5" s="306">
        <v>15</v>
      </c>
      <c r="D5" s="312">
        <v>1041077</v>
      </c>
      <c r="E5" s="313" t="s">
        <v>130</v>
      </c>
      <c r="F5" s="309" t="s">
        <v>131</v>
      </c>
      <c r="G5" s="310" t="s">
        <v>117</v>
      </c>
      <c r="H5" s="314" t="s">
        <v>132</v>
      </c>
      <c r="I5" s="315" t="s">
        <v>133</v>
      </c>
      <c r="J5" s="372"/>
      <c r="K5" s="311"/>
      <c r="L5" s="315" t="s">
        <v>134</v>
      </c>
      <c r="M5" s="319"/>
      <c r="N5" s="441"/>
      <c r="O5" s="449"/>
      <c r="P5" s="445"/>
    </row>
    <row r="6" spans="1:16" ht="218.25" customHeight="1">
      <c r="A6" s="305" t="s">
        <v>113</v>
      </c>
      <c r="B6" s="305" t="s">
        <v>114</v>
      </c>
      <c r="C6" s="306">
        <v>15</v>
      </c>
      <c r="D6" s="312">
        <v>1044636</v>
      </c>
      <c r="E6" s="313" t="s">
        <v>130</v>
      </c>
      <c r="F6" s="309" t="s">
        <v>135</v>
      </c>
      <c r="G6" s="310" t="s">
        <v>117</v>
      </c>
      <c r="H6" s="314" t="s">
        <v>136</v>
      </c>
      <c r="I6" s="315" t="s">
        <v>137</v>
      </c>
      <c r="J6" s="315" t="s">
        <v>138</v>
      </c>
      <c r="K6" s="311"/>
      <c r="L6" s="311"/>
      <c r="M6" s="319"/>
      <c r="N6" s="441"/>
      <c r="O6" s="449"/>
      <c r="P6" s="445"/>
    </row>
    <row r="7" spans="1:16" ht="174" customHeight="1">
      <c r="A7" s="305" t="s">
        <v>85</v>
      </c>
      <c r="B7" s="305" t="s">
        <v>68</v>
      </c>
      <c r="C7" s="306">
        <v>15</v>
      </c>
      <c r="D7" s="312">
        <v>1053552</v>
      </c>
      <c r="E7" s="308" t="s">
        <v>139</v>
      </c>
      <c r="F7" s="309" t="s">
        <v>140</v>
      </c>
      <c r="G7" s="310" t="s">
        <v>117</v>
      </c>
      <c r="H7" s="314" t="s">
        <v>141</v>
      </c>
      <c r="I7" s="315" t="s">
        <v>142</v>
      </c>
      <c r="J7" s="321" t="s">
        <v>143</v>
      </c>
      <c r="K7" s="311"/>
      <c r="L7" s="311"/>
      <c r="M7" s="319"/>
      <c r="N7" s="441"/>
      <c r="O7" s="449"/>
      <c r="P7" s="445"/>
    </row>
    <row r="8" spans="1:16" ht="193.5" customHeight="1">
      <c r="A8" s="305" t="s">
        <v>85</v>
      </c>
      <c r="B8" s="305" t="s">
        <v>86</v>
      </c>
      <c r="C8" s="306">
        <v>15</v>
      </c>
      <c r="D8" s="312">
        <v>1053553</v>
      </c>
      <c r="E8" s="308" t="s">
        <v>139</v>
      </c>
      <c r="F8" s="309" t="s">
        <v>144</v>
      </c>
      <c r="G8" s="310" t="s">
        <v>117</v>
      </c>
      <c r="H8" s="314" t="s">
        <v>145</v>
      </c>
      <c r="I8" s="315" t="s">
        <v>146</v>
      </c>
      <c r="J8" s="311"/>
      <c r="K8" s="315"/>
      <c r="L8" s="311"/>
      <c r="M8" s="319"/>
      <c r="N8" s="441"/>
      <c r="O8" s="449"/>
      <c r="P8" s="445"/>
    </row>
    <row r="9" spans="1:16" ht="142.5" customHeight="1">
      <c r="A9" s="385" t="s">
        <v>85</v>
      </c>
      <c r="B9" s="385" t="s">
        <v>69</v>
      </c>
      <c r="C9" s="386">
        <v>16</v>
      </c>
      <c r="D9" s="387">
        <v>999805</v>
      </c>
      <c r="E9" s="388" t="s">
        <v>130</v>
      </c>
      <c r="F9" s="389" t="s">
        <v>147</v>
      </c>
      <c r="G9" s="390" t="s">
        <v>121</v>
      </c>
      <c r="H9" s="387" t="s">
        <v>148</v>
      </c>
      <c r="I9" s="391" t="s">
        <v>149</v>
      </c>
      <c r="J9" s="392"/>
      <c r="K9" s="391"/>
      <c r="L9" s="392"/>
      <c r="M9" s="397" t="s">
        <v>150</v>
      </c>
      <c r="N9" s="442"/>
      <c r="O9" s="451"/>
      <c r="P9" s="445"/>
    </row>
    <row r="10" spans="1:16" ht="217.5" customHeight="1">
      <c r="A10" s="305" t="s">
        <v>151</v>
      </c>
      <c r="B10" s="305" t="s">
        <v>114</v>
      </c>
      <c r="C10" s="334">
        <v>16</v>
      </c>
      <c r="D10" s="324">
        <v>1061641</v>
      </c>
      <c r="E10" s="313" t="s">
        <v>130</v>
      </c>
      <c r="F10" s="309" t="s">
        <v>152</v>
      </c>
      <c r="G10" s="310" t="s">
        <v>117</v>
      </c>
      <c r="H10" s="324" t="s">
        <v>153</v>
      </c>
      <c r="I10" s="315" t="s">
        <v>154</v>
      </c>
      <c r="J10" s="367" t="s">
        <v>155</v>
      </c>
      <c r="K10" s="315" t="s">
        <v>156</v>
      </c>
      <c r="L10" s="311"/>
      <c r="M10" s="319"/>
      <c r="N10" s="441"/>
      <c r="O10" s="449"/>
      <c r="P10" s="445"/>
    </row>
    <row r="11" spans="1:16" s="439" customFormat="1" ht="287.25" customHeight="1">
      <c r="A11" s="385" t="s">
        <v>113</v>
      </c>
      <c r="B11" s="385" t="s">
        <v>157</v>
      </c>
      <c r="C11" s="398">
        <v>16</v>
      </c>
      <c r="D11" s="399">
        <v>186157</v>
      </c>
      <c r="E11" s="400" t="s">
        <v>115</v>
      </c>
      <c r="F11" s="389" t="s">
        <v>158</v>
      </c>
      <c r="G11" s="390" t="s">
        <v>121</v>
      </c>
      <c r="H11" s="387" t="s">
        <v>159</v>
      </c>
      <c r="I11" s="401" t="s">
        <v>160</v>
      </c>
      <c r="J11" s="392"/>
      <c r="K11" s="391"/>
      <c r="L11" s="392"/>
      <c r="M11" s="393" t="s">
        <v>161</v>
      </c>
      <c r="N11" s="442"/>
      <c r="O11" s="451"/>
      <c r="P11" s="447"/>
    </row>
    <row r="12" spans="1:16" ht="247.5" customHeight="1">
      <c r="A12" s="305" t="s">
        <v>162</v>
      </c>
      <c r="B12" s="305" t="s">
        <v>86</v>
      </c>
      <c r="C12" s="334">
        <v>16</v>
      </c>
      <c r="D12" s="324">
        <v>1053554</v>
      </c>
      <c r="E12" s="308" t="s">
        <v>139</v>
      </c>
      <c r="F12" s="335" t="s">
        <v>163</v>
      </c>
      <c r="G12" s="310" t="s">
        <v>117</v>
      </c>
      <c r="H12" s="324" t="s">
        <v>164</v>
      </c>
      <c r="I12" s="315" t="s">
        <v>165</v>
      </c>
      <c r="J12" s="321" t="s">
        <v>166</v>
      </c>
      <c r="K12" s="305"/>
      <c r="L12" s="305"/>
      <c r="M12" s="305"/>
      <c r="N12" s="365"/>
      <c r="O12" s="452"/>
      <c r="P12" s="445"/>
    </row>
    <row r="13" spans="1:16" ht="216" customHeight="1">
      <c r="A13" s="305" t="s">
        <v>162</v>
      </c>
      <c r="B13" s="305" t="s">
        <v>157</v>
      </c>
      <c r="C13" s="363">
        <v>16</v>
      </c>
      <c r="D13" s="326">
        <v>1073960</v>
      </c>
      <c r="E13" s="308" t="s">
        <v>139</v>
      </c>
      <c r="F13" s="309" t="s">
        <v>167</v>
      </c>
      <c r="G13" s="310" t="s">
        <v>117</v>
      </c>
      <c r="H13" s="58" t="s">
        <v>168</v>
      </c>
      <c r="I13" s="315" t="s">
        <v>169</v>
      </c>
      <c r="J13" s="321" t="s">
        <v>170</v>
      </c>
      <c r="K13" s="305"/>
      <c r="L13" s="305"/>
      <c r="M13" s="305"/>
      <c r="N13" s="365"/>
      <c r="O13" s="452"/>
      <c r="P13" s="445"/>
    </row>
    <row r="14" spans="1:16" ht="261.75" customHeight="1">
      <c r="A14" s="305" t="s">
        <v>157</v>
      </c>
      <c r="B14" s="365" t="s">
        <v>171</v>
      </c>
      <c r="C14" s="306">
        <v>16</v>
      </c>
      <c r="D14" s="423">
        <v>1054356</v>
      </c>
      <c r="E14" s="308" t="s">
        <v>115</v>
      </c>
      <c r="F14" s="364" t="s">
        <v>172</v>
      </c>
      <c r="G14" s="310" t="s">
        <v>117</v>
      </c>
      <c r="H14" s="325" t="s">
        <v>173</v>
      </c>
      <c r="I14" s="366" t="s">
        <v>174</v>
      </c>
      <c r="J14" s="362"/>
      <c r="K14" s="362"/>
      <c r="L14" s="368" t="s">
        <v>175</v>
      </c>
      <c r="M14" s="396" t="s">
        <v>176</v>
      </c>
      <c r="N14" s="443"/>
      <c r="O14" s="453"/>
      <c r="P14" s="445"/>
    </row>
    <row r="15" spans="1:16" s="440" customFormat="1" ht="256.5" customHeight="1">
      <c r="A15" s="406" t="s">
        <v>113</v>
      </c>
      <c r="B15" s="411" t="s">
        <v>151</v>
      </c>
      <c r="C15" s="402">
        <v>17</v>
      </c>
      <c r="D15" s="324">
        <v>1080462</v>
      </c>
      <c r="E15" s="410" t="s">
        <v>115</v>
      </c>
      <c r="F15" s="61" t="s">
        <v>158</v>
      </c>
      <c r="G15" s="310" t="s">
        <v>117</v>
      </c>
      <c r="H15" s="13" t="s">
        <v>177</v>
      </c>
      <c r="I15" s="475" t="s">
        <v>178</v>
      </c>
      <c r="J15" s="490" t="s">
        <v>179</v>
      </c>
      <c r="K15" s="491" t="s">
        <v>180</v>
      </c>
      <c r="L15" s="408"/>
      <c r="M15" s="409"/>
      <c r="N15" s="444"/>
      <c r="O15" s="453"/>
      <c r="P15" s="445"/>
    </row>
    <row r="16" spans="1:16" ht="409.5" customHeight="1">
      <c r="A16" s="406" t="s">
        <v>157</v>
      </c>
      <c r="B16" s="411" t="s">
        <v>181</v>
      </c>
      <c r="C16" s="402">
        <v>17</v>
      </c>
      <c r="D16" s="324">
        <v>1071312</v>
      </c>
      <c r="E16" s="410" t="s">
        <v>115</v>
      </c>
      <c r="F16" s="407" t="s">
        <v>182</v>
      </c>
      <c r="G16" s="310" t="s">
        <v>117</v>
      </c>
      <c r="H16" s="10" t="s">
        <v>183</v>
      </c>
      <c r="I16" s="475" t="s">
        <v>184</v>
      </c>
      <c r="J16" s="362"/>
      <c r="K16" s="414" t="s">
        <v>185</v>
      </c>
      <c r="L16" s="408"/>
      <c r="M16" s="409"/>
      <c r="N16" s="444"/>
      <c r="O16" s="453"/>
      <c r="P16" s="445"/>
    </row>
    <row r="17" spans="1:16" ht="206.25" customHeight="1">
      <c r="A17" s="402" t="s">
        <v>68</v>
      </c>
      <c r="B17" s="402" t="s">
        <v>157</v>
      </c>
      <c r="C17" s="412">
        <v>17</v>
      </c>
      <c r="D17" s="413">
        <v>1073086</v>
      </c>
      <c r="E17" s="403" t="s">
        <v>115</v>
      </c>
      <c r="F17" s="435" t="s">
        <v>186</v>
      </c>
      <c r="G17" s="310" t="s">
        <v>117</v>
      </c>
      <c r="H17" s="415" t="s">
        <v>187</v>
      </c>
      <c r="I17" s="475" t="s">
        <v>188</v>
      </c>
      <c r="J17" s="474" t="s">
        <v>189</v>
      </c>
      <c r="K17" s="416" t="s">
        <v>190</v>
      </c>
      <c r="L17" s="408"/>
      <c r="M17" s="409"/>
      <c r="N17" s="444"/>
      <c r="O17" s="453"/>
      <c r="P17" s="445"/>
    </row>
    <row r="18" spans="1:16" ht="191.25" customHeight="1">
      <c r="A18" s="402" t="s">
        <v>114</v>
      </c>
      <c r="B18" s="402" t="s">
        <v>191</v>
      </c>
      <c r="C18" s="402">
        <v>17</v>
      </c>
      <c r="D18" s="324">
        <v>1082312</v>
      </c>
      <c r="E18" s="422" t="s">
        <v>115</v>
      </c>
      <c r="F18" s="404" t="s">
        <v>192</v>
      </c>
      <c r="G18" s="310" t="s">
        <v>193</v>
      </c>
      <c r="H18" s="428" t="s">
        <v>194</v>
      </c>
      <c r="I18" s="461" t="s">
        <v>195</v>
      </c>
      <c r="J18" s="362"/>
      <c r="K18" s="429" t="s">
        <v>196</v>
      </c>
      <c r="L18" s="408"/>
      <c r="M18" s="409"/>
      <c r="N18" s="444"/>
      <c r="O18" s="453"/>
      <c r="P18" s="445"/>
    </row>
    <row r="19" spans="1:16" ht="144" customHeight="1">
      <c r="A19" s="402" t="s">
        <v>85</v>
      </c>
      <c r="B19" s="402" t="s">
        <v>114</v>
      </c>
      <c r="C19" s="402">
        <v>17</v>
      </c>
      <c r="D19" s="324">
        <v>1081979</v>
      </c>
      <c r="E19" s="403" t="s">
        <v>139</v>
      </c>
      <c r="F19" s="459" t="s">
        <v>197</v>
      </c>
      <c r="G19" s="310" t="s">
        <v>117</v>
      </c>
      <c r="H19" s="457" t="s">
        <v>198</v>
      </c>
      <c r="I19" s="474" t="s">
        <v>199</v>
      </c>
      <c r="J19" s="474" t="s">
        <v>200</v>
      </c>
      <c r="K19" s="408"/>
      <c r="L19" s="408"/>
      <c r="M19" s="409"/>
      <c r="N19" s="444"/>
      <c r="O19" s="453"/>
      <c r="P19" s="445"/>
    </row>
    <row r="20" spans="1:16" ht="57.75" customHeight="1">
      <c r="A20" s="402" t="s">
        <v>85</v>
      </c>
      <c r="B20" s="402" t="s">
        <v>86</v>
      </c>
      <c r="C20" s="402">
        <v>17</v>
      </c>
      <c r="D20" s="325">
        <v>1081986</v>
      </c>
      <c r="E20" s="403" t="s">
        <v>139</v>
      </c>
      <c r="F20" s="364" t="s">
        <v>201</v>
      </c>
      <c r="G20" s="492" t="s">
        <v>193</v>
      </c>
      <c r="H20" s="434" t="s">
        <v>202</v>
      </c>
      <c r="I20" s="469" t="s">
        <v>203</v>
      </c>
      <c r="J20" s="474" t="s">
        <v>204</v>
      </c>
      <c r="K20" s="455"/>
      <c r="L20" s="454"/>
      <c r="M20" s="405"/>
      <c r="N20" s="443"/>
      <c r="O20" s="453"/>
      <c r="P20" s="445"/>
    </row>
    <row r="21" spans="1:16" ht="135.75" customHeight="1">
      <c r="A21" s="402" t="s">
        <v>68</v>
      </c>
      <c r="B21" s="402" t="s">
        <v>157</v>
      </c>
      <c r="C21" s="470">
        <v>18</v>
      </c>
      <c r="D21" s="458">
        <v>1069754</v>
      </c>
      <c r="E21" s="471" t="s">
        <v>115</v>
      </c>
      <c r="F21" s="459" t="s">
        <v>205</v>
      </c>
      <c r="G21" s="493" t="s">
        <v>193</v>
      </c>
      <c r="H21" s="460" t="s">
        <v>206</v>
      </c>
      <c r="I21" s="668" t="s">
        <v>207</v>
      </c>
      <c r="J21" s="474" t="s">
        <v>208</v>
      </c>
      <c r="K21" s="408"/>
      <c r="L21" s="408"/>
      <c r="M21" s="409"/>
      <c r="N21" s="444"/>
      <c r="O21" s="453"/>
      <c r="P21" s="445"/>
    </row>
    <row r="22" spans="1:16" ht="135">
      <c r="A22" s="402" t="s">
        <v>86</v>
      </c>
      <c r="B22" s="402" t="s">
        <v>69</v>
      </c>
      <c r="C22" s="470">
        <v>18</v>
      </c>
      <c r="D22" s="458">
        <v>1089866</v>
      </c>
      <c r="E22" s="471" t="s">
        <v>115</v>
      </c>
      <c r="F22" s="459" t="s">
        <v>209</v>
      </c>
      <c r="G22" s="493" t="s">
        <v>193</v>
      </c>
      <c r="H22" s="13" t="s">
        <v>210</v>
      </c>
      <c r="I22" s="475" t="s">
        <v>211</v>
      </c>
      <c r="J22" s="490" t="s">
        <v>212</v>
      </c>
      <c r="K22" s="408"/>
      <c r="L22" s="408"/>
      <c r="M22" s="409"/>
      <c r="N22" s="444"/>
      <c r="O22" s="453"/>
      <c r="P22" s="445"/>
    </row>
    <row r="23" spans="1:16" ht="185.45" customHeight="1">
      <c r="A23" s="402" t="s">
        <v>157</v>
      </c>
      <c r="B23" s="402" t="s">
        <v>213</v>
      </c>
      <c r="C23" s="470">
        <v>18</v>
      </c>
      <c r="D23" s="456">
        <v>1097492</v>
      </c>
      <c r="E23" s="471" t="s">
        <v>115</v>
      </c>
      <c r="F23" s="459" t="s">
        <v>214</v>
      </c>
      <c r="G23" s="493" t="s">
        <v>193</v>
      </c>
      <c r="H23" s="531" t="s">
        <v>215</v>
      </c>
      <c r="I23" s="474" t="s">
        <v>216</v>
      </c>
      <c r="J23" s="474"/>
      <c r="K23" s="414" t="s">
        <v>217</v>
      </c>
      <c r="L23" s="494"/>
      <c r="M23" s="409"/>
      <c r="N23" s="444"/>
      <c r="O23" s="453"/>
      <c r="P23" s="445"/>
    </row>
    <row r="24" spans="1:16" s="527" customFormat="1" ht="141.75" customHeight="1">
      <c r="A24" s="411" t="s">
        <v>151</v>
      </c>
      <c r="B24" s="402" t="s">
        <v>218</v>
      </c>
      <c r="C24" s="470">
        <v>18</v>
      </c>
      <c r="D24" s="456">
        <v>1093921</v>
      </c>
      <c r="E24" s="471" t="s">
        <v>115</v>
      </c>
      <c r="F24" s="459" t="s">
        <v>219</v>
      </c>
      <c r="G24" s="493" t="s">
        <v>193</v>
      </c>
      <c r="H24" s="13" t="s">
        <v>220</v>
      </c>
      <c r="I24" s="530" t="s">
        <v>221</v>
      </c>
      <c r="J24" s="523"/>
      <c r="K24" s="524" t="s">
        <v>222</v>
      </c>
      <c r="L24" s="525"/>
      <c r="M24" s="409"/>
      <c r="N24" s="444"/>
      <c r="O24" s="453"/>
      <c r="P24" s="526"/>
    </row>
    <row r="25" spans="1:16" ht="57.75" customHeight="1">
      <c r="A25" s="411" t="s">
        <v>223</v>
      </c>
      <c r="B25" s="402" t="s">
        <v>224</v>
      </c>
      <c r="C25" s="470">
        <v>18</v>
      </c>
      <c r="D25" s="456">
        <v>1093963</v>
      </c>
      <c r="E25" s="471" t="s">
        <v>115</v>
      </c>
      <c r="F25" s="364" t="s">
        <v>225</v>
      </c>
      <c r="G25" s="493" t="s">
        <v>193</v>
      </c>
      <c r="H25" s="528" t="s">
        <v>226</v>
      </c>
      <c r="I25" s="488" t="s">
        <v>227</v>
      </c>
      <c r="J25" s="495"/>
      <c r="K25" s="532" t="s">
        <v>228</v>
      </c>
      <c r="L25" s="454"/>
      <c r="M25" s="405"/>
      <c r="N25" s="443"/>
      <c r="O25" s="453"/>
      <c r="P25" s="445"/>
    </row>
    <row r="26" spans="1:16" ht="57.75" customHeight="1">
      <c r="A26" s="402" t="s">
        <v>85</v>
      </c>
      <c r="B26" s="402" t="s">
        <v>157</v>
      </c>
      <c r="C26" s="470">
        <v>18</v>
      </c>
      <c r="D26" s="456">
        <v>1101229</v>
      </c>
      <c r="E26" s="471" t="s">
        <v>139</v>
      </c>
      <c r="F26" s="364" t="s">
        <v>229</v>
      </c>
      <c r="G26" s="493" t="s">
        <v>193</v>
      </c>
      <c r="H26" s="472" t="s">
        <v>230</v>
      </c>
      <c r="I26" s="469" t="s">
        <v>231</v>
      </c>
      <c r="J26" s="473" t="s">
        <v>232</v>
      </c>
      <c r="K26" s="455"/>
      <c r="L26" s="454"/>
      <c r="M26" s="405"/>
      <c r="N26" s="443"/>
      <c r="O26" s="453"/>
      <c r="P26" s="445"/>
    </row>
    <row r="27" spans="1:16" ht="57.75" customHeight="1">
      <c r="A27" s="402" t="s">
        <v>86</v>
      </c>
      <c r="B27" s="402" t="s">
        <v>69</v>
      </c>
      <c r="C27" s="470">
        <v>18</v>
      </c>
      <c r="D27" s="458">
        <v>1088601</v>
      </c>
      <c r="E27" s="471" t="s">
        <v>115</v>
      </c>
      <c r="F27" s="364" t="s">
        <v>233</v>
      </c>
      <c r="G27" s="493" t="s">
        <v>193</v>
      </c>
      <c r="H27" s="468" t="s">
        <v>234</v>
      </c>
      <c r="I27" s="461" t="s">
        <v>235</v>
      </c>
      <c r="J27" s="461" t="s">
        <v>236</v>
      </c>
      <c r="K27" s="461" t="s">
        <v>237</v>
      </c>
      <c r="L27" s="454"/>
      <c r="M27" s="405"/>
      <c r="N27" s="443"/>
      <c r="O27" s="453"/>
      <c r="P27" s="445"/>
    </row>
    <row r="28" spans="1:16" ht="57.75" customHeight="1">
      <c r="A28" s="549" t="s">
        <v>114</v>
      </c>
      <c r="B28" s="549"/>
      <c r="C28" s="550">
        <v>18</v>
      </c>
      <c r="D28" s="601">
        <v>1093873</v>
      </c>
      <c r="E28" s="552" t="s">
        <v>115</v>
      </c>
      <c r="F28" s="602" t="s">
        <v>238</v>
      </c>
      <c r="G28" s="697" t="s">
        <v>121</v>
      </c>
      <c r="H28" s="603" t="s">
        <v>239</v>
      </c>
      <c r="I28" s="604" t="s">
        <v>240</v>
      </c>
      <c r="J28" s="556"/>
      <c r="K28" s="604" t="s">
        <v>241</v>
      </c>
      <c r="L28" s="605"/>
      <c r="M28" s="606" t="s">
        <v>242</v>
      </c>
      <c r="N28" s="559"/>
      <c r="O28" s="560"/>
      <c r="P28" s="445"/>
    </row>
    <row r="29" spans="1:16" ht="60" customHeight="1">
      <c r="A29" s="496" t="s">
        <v>85</v>
      </c>
      <c r="B29" s="496"/>
      <c r="C29" s="497">
        <v>18</v>
      </c>
      <c r="D29" s="465">
        <v>1099787</v>
      </c>
      <c r="E29" s="498" t="s">
        <v>139</v>
      </c>
      <c r="F29" s="499" t="s">
        <v>243</v>
      </c>
      <c r="G29" s="493" t="s">
        <v>121</v>
      </c>
      <c r="H29" s="466"/>
      <c r="I29" s="500"/>
      <c r="J29" s="501"/>
      <c r="K29" s="502"/>
      <c r="L29" s="503"/>
      <c r="M29" s="467" t="s">
        <v>244</v>
      </c>
      <c r="N29" s="504"/>
      <c r="O29" s="505"/>
      <c r="P29" s="445"/>
    </row>
    <row r="30" spans="1:16" s="548" customFormat="1" ht="57.75" customHeight="1">
      <c r="A30" s="549" t="s">
        <v>85</v>
      </c>
      <c r="B30" s="549"/>
      <c r="C30" s="550">
        <v>19</v>
      </c>
      <c r="D30" s="551">
        <v>1099816</v>
      </c>
      <c r="E30" s="552" t="s">
        <v>139</v>
      </c>
      <c r="F30" s="553" t="s">
        <v>245</v>
      </c>
      <c r="G30" s="697" t="s">
        <v>121</v>
      </c>
      <c r="H30" s="554"/>
      <c r="I30" s="555"/>
      <c r="J30" s="556"/>
      <c r="K30" s="557"/>
      <c r="L30" s="557"/>
      <c r="M30" s="558" t="s">
        <v>246</v>
      </c>
      <c r="N30" s="559"/>
      <c r="O30" s="560"/>
      <c r="P30" s="547"/>
    </row>
    <row r="31" spans="1:16" s="548" customFormat="1" ht="107.25" customHeight="1">
      <c r="A31" s="698" t="s">
        <v>85</v>
      </c>
      <c r="B31" s="698"/>
      <c r="C31" s="699">
        <v>20</v>
      </c>
      <c r="D31" s="326">
        <v>1131246</v>
      </c>
      <c r="E31" s="700" t="s">
        <v>139</v>
      </c>
      <c r="F31" s="667" t="s">
        <v>247</v>
      </c>
      <c r="G31" s="701" t="s">
        <v>248</v>
      </c>
      <c r="H31" s="460" t="s">
        <v>249</v>
      </c>
      <c r="I31" s="668" t="s">
        <v>250</v>
      </c>
      <c r="J31" s="474" t="s">
        <v>251</v>
      </c>
      <c r="K31" s="702"/>
      <c r="L31" s="703"/>
      <c r="M31" s="704"/>
      <c r="N31" s="705"/>
      <c r="O31" s="706"/>
      <c r="P31" s="547"/>
    </row>
    <row r="32" spans="1:16" s="548" customFormat="1" ht="115.5" customHeight="1">
      <c r="A32" s="698" t="s">
        <v>85</v>
      </c>
      <c r="B32" s="698"/>
      <c r="C32" s="699">
        <v>20</v>
      </c>
      <c r="D32" s="617">
        <v>1131306</v>
      </c>
      <c r="E32" s="700" t="s">
        <v>139</v>
      </c>
      <c r="F32" s="669" t="s">
        <v>252</v>
      </c>
      <c r="G32" s="701" t="s">
        <v>248</v>
      </c>
      <c r="H32" s="10" t="s">
        <v>253</v>
      </c>
      <c r="I32" s="668" t="s">
        <v>254</v>
      </c>
      <c r="J32" s="474"/>
      <c r="K32" s="707"/>
      <c r="L32" s="707"/>
      <c r="M32" t="s">
        <v>255</v>
      </c>
      <c r="N32" s="705"/>
      <c r="O32" s="706"/>
      <c r="P32" s="547"/>
    </row>
    <row r="33" spans="11:11" ht="12" customHeight="1">
      <c r="K33" s="506"/>
    </row>
    <row r="34" spans="11:11" ht="12" customHeight="1">
      <c r="K34" s="506"/>
    </row>
    <row r="35" spans="11:11" ht="12" customHeight="1">
      <c r="K35" s="506"/>
    </row>
    <row r="36" spans="11:11" ht="12" customHeight="1">
      <c r="K36" s="506"/>
    </row>
    <row r="37" spans="11:11" ht="12" customHeight="1">
      <c r="K37" s="506"/>
    </row>
    <row r="38" spans="11:11" ht="12" customHeight="1">
      <c r="K38" s="506"/>
    </row>
    <row r="39" spans="11:11" ht="12" customHeight="1">
      <c r="K39" s="506"/>
    </row>
    <row r="40" spans="11:11" ht="12" customHeight="1">
      <c r="K40" s="506"/>
    </row>
    <row r="41" spans="11:11" ht="12" customHeight="1">
      <c r="K41" s="506"/>
    </row>
    <row r="42" spans="11:11" ht="12" customHeight="1">
      <c r="K42" s="506"/>
    </row>
    <row r="43" spans="11:11" ht="12" customHeight="1">
      <c r="K43" s="506"/>
    </row>
    <row r="44" spans="11:11" ht="12" customHeight="1">
      <c r="K44" s="506"/>
    </row>
    <row r="45" spans="11:11" ht="12" customHeight="1">
      <c r="K45" s="506"/>
    </row>
  </sheetData>
  <autoFilter ref="A1:P30" xr:uid="{25171888-C378-46CF-8ECA-FC2F79B2EF19}">
    <filterColumn colId="0">
      <filters>
        <filter val="Arianne"/>
      </filters>
    </filterColumn>
  </autoFilter>
  <conditionalFormatting sqref="G2">
    <cfRule type="containsText" dxfId="81" priority="8" operator="containsText" text="Completed Execution Review">
      <formula>NOT(ISERROR(SEARCH("Completed Execution Review",G2)))</formula>
    </cfRule>
  </conditionalFormatting>
  <conditionalFormatting sqref="G2:G32">
    <cfRule type="containsText" dxfId="80" priority="9" operator="containsText" text="Not Applicable">
      <formula>NOT(ISERROR(SEARCH("Not Applicable",G2)))</formula>
    </cfRule>
    <cfRule type="containsText" dxfId="79" priority="10" operator="containsText" text="Business Reviewed">
      <formula>NOT(ISERROR(SEARCH("Business Reviewed",G2)))</formula>
    </cfRule>
    <cfRule type="containsText" dxfId="78" priority="11" operator="containsText" text="For Business Review/SignOff">
      <formula>NOT(ISERROR(SEARCH("For Business Review/SignOff",G2)))</formula>
    </cfRule>
    <cfRule type="containsText" dxfId="77" priority="12" operator="containsText" text="Test Lead/Sprint Lead/FA Reviewed">
      <formula>NOT(ISERROR(SEARCH("Test Lead/Sprint Lead/FA Reviewed",G2)))</formula>
    </cfRule>
    <cfRule type="containsText" dxfId="76" priority="13" operator="containsText" text="For Test Lead/Sprint Lead/FA Review">
      <formula>NOT(ISERROR(SEARCH("For Test Lead/Sprint Lead/FA Review",G2)))</formula>
    </cfRule>
    <cfRule type="containsText" dxfId="75" priority="14" operator="containsText" text="In Progress">
      <formula>NOT(ISERROR(SEARCH("In Progress",G2)))</formula>
    </cfRule>
    <cfRule type="containsText" dxfId="74" priority="15" operator="containsText" text="Not Started">
      <formula>NOT(ISERROR(SEARCH("Not Started",G2)))</formula>
    </cfRule>
  </conditionalFormatting>
  <conditionalFormatting sqref="G4:G8">
    <cfRule type="containsText" dxfId="73" priority="4" operator="containsText" text="Completed Execution Review">
      <formula>NOT(ISERROR(SEARCH("Completed Execution Review",G4)))</formula>
    </cfRule>
  </conditionalFormatting>
  <conditionalFormatting sqref="G10">
    <cfRule type="containsText" dxfId="72" priority="3" operator="containsText" text="Completed Execution Review">
      <formula>NOT(ISERROR(SEARCH("Completed Execution Review",G10)))</formula>
    </cfRule>
  </conditionalFormatting>
  <conditionalFormatting sqref="G12:G19">
    <cfRule type="containsText" dxfId="71" priority="1" operator="containsText" text="Completed Execution Review">
      <formula>NOT(ISERROR(SEARCH("Completed Execution Review",G12)))</formula>
    </cfRule>
  </conditionalFormatting>
  <dataValidations count="2">
    <dataValidation type="list" allowBlank="1" showInputMessage="1" showErrorMessage="1" sqref="G3 G9 G11 G20:G32" xr:uid="{C472F848-6312-4B80-833D-878E55E81CCF}">
      <formula1>"Not Started, In Progress, For Test Lead/Sprint Lead/FA Review, Test Lead/Sprint Lead/FA Reviewed, For Business Review/SignOff, Business Reviewed, Not Applicable,Reviewed"</formula1>
    </dataValidation>
    <dataValidation type="list" allowBlank="1" showInputMessage="1" showErrorMessage="1" sqref="G2 G4:G8 G10 G12:G19" xr:uid="{6CC709D4-A540-41CB-A175-5D22E2BEBEF8}">
      <formula1>"Not Started, In Progress, For Test Lead/Sprint Lead/FA Review, Test Lead/Sprint Lead/FA Reviewed, For Business Review/SignOff, Business Reviewed, Not Applicable,Reviewed, Completed Execution Review"</formula1>
    </dataValidation>
  </dataValidations>
  <hyperlinks>
    <hyperlink ref="D4" r:id="rId1" display="858074" xr:uid="{05C4E5F0-5458-443D-A497-8998A90A06FE}"/>
    <hyperlink ref="D7" r:id="rId2" display="1053552" xr:uid="{892773A2-0693-4DD9-B529-38013B2D3E56}"/>
    <hyperlink ref="D8" r:id="rId3" display="1053553" xr:uid="{78F6C9D5-8488-46BC-AE71-BB6044E8688B}"/>
    <hyperlink ref="H4" r:id="rId4" xr:uid="{0BB241CD-CE56-413F-947E-B59A2A3B3747}"/>
    <hyperlink ref="H8" r:id="rId5" xr:uid="{37ADAFCE-BB04-4DF7-B1D0-8632C1608BD6}"/>
    <hyperlink ref="H7" r:id="rId6" xr:uid="{A98784E7-25A2-4978-BD78-47772A2A2AF2}"/>
    <hyperlink ref="D2" r:id="rId7" display="611512" xr:uid="{847831CC-8B66-4E6E-836D-324E351B7CDA}"/>
    <hyperlink ref="H2" r:id="rId8" xr:uid="{FA31343F-3AE3-49BA-8EFE-CC158639307C}"/>
    <hyperlink ref="H19" r:id="rId9" xr:uid="{861B9ADB-BEBF-4831-B016-56BB20A9102C}"/>
    <hyperlink ref="H17" r:id="rId10" display="https://ts.accenture.com/:x:/r/sites/MMDBuySide-CIOTeam/_layouts/15/Doc.aspx?sourcedoc=%7BF36233C9-BE06-42CB-A388-C143314ECD67%7D&amp;file=Data%20Conversion.xlsx&amp;action=default&amp;mobileredirect=true" xr:uid="{7190804E-B4C2-4D33-AEF0-DD8B61FA4953}"/>
    <hyperlink ref="D18" r:id="rId11" display="1082312" xr:uid="{D69E1D83-4087-46C5-82D0-7C4F4D53EB92}"/>
    <hyperlink ref="D17" r:id="rId12" display="1073086" xr:uid="{78D4F37F-7682-4F59-BFD0-132CB8843A0D}"/>
    <hyperlink ref="D20" r:id="rId13" display=" 1081986" xr:uid="{81D25D24-B334-421D-B5FB-C04BB3C4CAF3}"/>
    <hyperlink ref="D19" r:id="rId14" display=" 1081979" xr:uid="{EBA7C316-3CCE-4116-B278-2067F4777364}"/>
    <hyperlink ref="D16" r:id="rId15" display=" 1071312" xr:uid="{01827072-79E3-4C59-BA61-58A204D8C3F1}"/>
    <hyperlink ref="H13" r:id="rId16" xr:uid="{F7A26050-17CC-400B-9550-410A50C205FF}"/>
    <hyperlink ref="H14" r:id="rId17" display="../../../../../../../:x:/r/sites/MMDBuySide-CIOTeam/_layouts/15/Doc.aspx?sourcedoc=%7B5CFA6035-170C-44D4-BAA8-C1C750C82476%7D&amp;file=TC-MMD_BuySide_R26.3_S16_1054356_Supplier%20Preferred%20Name%20Values%20Translation%20to%20French%2C%20Spanish%2C%20Italian%2C%20German%20and%20Portuguese.xlsx&amp;action=default&amp;mobileredirect=true" xr:uid="{CE60B3BC-D0FE-4909-8B4D-354CE414A10D}"/>
    <hyperlink ref="D14" r:id="rId18" display="1054356" xr:uid="{BF886A5A-F083-4D49-978E-5A1C118B11C9}"/>
    <hyperlink ref="H10" r:id="rId19" display="../../../../../../../:x:/r/sites/MMDBuySide-CIOTeam/_layouts/15/Doc.aspx?sourcedoc=%7B0AEFFB96-324B-4CCE-94AD-297E536A3EC0%7D&amp;file=TC-MMD_BuySide_R26.3_S16_1061641_%5BMMD%20BuySide%5D%5BR26.3%5D%20Attribute%20Value%20discrepancy%20for%20%27Is%20Contract%20Admin%20Present%27%20for%20business%20status%20Assigned%20or%20Assignment%20Pending%20is%20displayed%20in%20Saved%20Search.xlsx&amp;action=default&amp;mobileredirect=true" xr:uid="{4B94DDFF-B8D1-41D4-8D46-FB8957673BE9}"/>
    <hyperlink ref="H11" r:id="rId20" xr:uid="{EEA58620-749E-45B4-968B-D2E2464AF24E}"/>
    <hyperlink ref="H12" r:id="rId21" xr:uid="{0E6C77EA-667E-4BEA-8215-6E5FA592CF9F}"/>
    <hyperlink ref="D13" r:id="rId22" display="1073960" xr:uid="{0D5D3DE7-4FCF-42E8-B6E7-78DC87B9D55B}"/>
    <hyperlink ref="D12" r:id="rId23" display="1053554" xr:uid="{CDBEAAB6-7F0A-4B08-A290-2D8AB49574C6}"/>
    <hyperlink ref="H9" r:id="rId24" xr:uid="{0C3583DD-925E-4C35-A771-4447AFD08F4C}"/>
    <hyperlink ref="D11" r:id="rId25" display="186157" xr:uid="{DB2CB359-5E1F-48A1-9E91-83EECE5C498C}"/>
    <hyperlink ref="D10" r:id="rId26" display="1061641" xr:uid="{45477E7D-8F1F-46B5-8B93-DDB10E08CFC3}"/>
    <hyperlink ref="D9" r:id="rId27" display="999805" xr:uid="{23A9B05F-A09A-4A52-9074-2096770F3FA8}"/>
    <hyperlink ref="H5" r:id="rId28" display="../../../../../../../:x:/r/sites/MMDBuySide-CIOTeam/_layouts/15/Doc.aspx?sourcedoc=%7B29F9E054-204F-4021-8B5B-6189D2C8052C%7D&amp;file=TC-MMD_BuySide_R26.2_S12_947493_%5BKTLO%5D%C2%A0%5BMMD%20BuySide%5D%5BR26.1%5D%20Signatory%203%E2%80%9315%2C%20External%20and%20Internal%20witness%20signatory%20is%20visible%20in%20SMA%20for%20Bulgaria%20country%20(should%20not%20be%20visible)%20-%20Copy.xlsx&amp;action=default&amp;mobileredirect=true" xr:uid="{4EA47C1A-CCF9-4C78-BDFC-A9777529117B}"/>
    <hyperlink ref="H6" r:id="rId29" display="../../../../../../../:x:/r/sites/MMDBuySide-CIOTeam/_layouts/15/Doc.aspx?sourcedoc=%7B588AD647-3C35-4C5E-9884-82D735EF537F%7D&amp;file=TC-MMD_BuySide_R26.2_S6_429239_%5BKTLO%5D_%5BBuy%20Side%5D%20Supplier%20Permitted%20Termination%20Date%20did%20not%20automatically%20increase%20by%20one%20day%20in%20the%20system%20the%20next%20day%201.xlsx&amp;action=default&amp;mobileredirect=true" xr:uid="{EBB8889E-062B-4CC1-8ADA-4723E94FA367}"/>
    <hyperlink ref="D6" r:id="rId30" display="1044636" xr:uid="{D64BEA60-B555-4FDA-9188-6D3BCDA3AC0F}"/>
    <hyperlink ref="D5" r:id="rId31" display="1041077" xr:uid="{92C1390E-8596-44A1-BD73-BAA2CB9F3191}"/>
    <hyperlink ref="H20" r:id="rId32" xr:uid="{95622740-354D-4684-867C-1EEF6BE10DCC}"/>
    <hyperlink ref="H15" r:id="rId33" display="https://dev.azure.com/accenturecio24/CategoryToContract_PR1085/_workitems/edit/1080461" xr:uid="{B92B03BD-0C99-427D-B0B0-8F9302EC1455}"/>
    <hyperlink ref="D15" r:id="rId34" display="1080462" xr:uid="{8BBB39F1-F99A-4751-A257-A5C5EFE2144B}"/>
    <hyperlink ref="H16" r:id="rId35" display="TC-MMD_BuySide_R26.3_S17_1071312_Supplier Preferred Name Values Translation to Chinese.xlsx" xr:uid="{56499F4E-E9F8-4C67-AF3C-3BC252669D4C}"/>
    <hyperlink ref="H18" r:id="rId36" xr:uid="{08B825AF-BD27-46D4-BEC3-F0A88AFCF3EA}"/>
    <hyperlink ref="D21" r:id="rId37" display="https://dev.azure.com/accenturecio24/CategoryToContract_PR1085/_workitems/edit/1069754" xr:uid="{49E08636-A874-4D3C-9E08-950CA19FBB4A}"/>
    <hyperlink ref="D22" r:id="rId38" display="https://dev.azure.com/accenturecio24/CategoryToContract_PR1085/_workitems/edit/1089866" xr:uid="{EE676FAB-0E65-416B-80EA-8FFF984B60F6}"/>
    <hyperlink ref="D24" r:id="rId39" display="https://dev.azure.com/accenturecio24/CategoryToContract_PR1085/_workitems/edit/1093921" xr:uid="{2C32B750-9B4D-4322-BAE8-A5C0B1BD726F}"/>
    <hyperlink ref="D25" r:id="rId40" display="https://dev.azure.com/accenturecio24/CategoryToContract_PR1085/_workitems/edit/1093963" xr:uid="{BEDC907E-C09E-4210-8B76-4CE01CE9CBD0}"/>
    <hyperlink ref="D29" r:id="rId41" display="https://dev.azure.com/accenturecio24/CategoryToContract_PR1085/_workitems/edit/1099787" xr:uid="{BAAABFF9-732F-4393-BE85-430326FB0409}"/>
    <hyperlink ref="D30" r:id="rId42" display="https://dev.azure.com/accenturecio24/CategoryToContract_PR1085/_workitems/edit/1099816" xr:uid="{17C18523-8C43-485A-8B23-3DC52811A71C}"/>
    <hyperlink ref="D23" r:id="rId43" display="https://dev.azure.com/accenturecio24/CategoryToContract_PR1085/_workitems/edit/1097492" xr:uid="{3A060D62-4BDB-4B73-A493-0C275AF08567}"/>
    <hyperlink ref="H21" r:id="rId44" xr:uid="{F2437833-72ED-4936-80C7-6E4AC8BAD337}"/>
    <hyperlink ref="H23" r:id="rId45" display="TC-MMD_BuySide_R26.3_S18_1097492_Supplier Preferred Name Values Translation to Japansese.xlsx" xr:uid="{E87518EB-2FEB-4DB0-A4B7-ADDFD0A8B827}"/>
    <hyperlink ref="D26" r:id="rId46" display="https://dev.azure.com/accenturecio24/CategoryToContract_PR1085/_workitems/edit/1101229" xr:uid="{9E9F8B13-F81B-4D72-BD89-346CD6406D7F}"/>
    <hyperlink ref="H26" r:id="rId47" xr:uid="{643D2D04-90EC-42B8-8B65-1DC07F679244}"/>
    <hyperlink ref="D28" r:id="rId48" display="https://dev.azure.com/accenturecio24/CategoryToContract_PR1085/_workitems/edit/1093873" xr:uid="{D056347D-EFBF-42DF-AA05-6148BF9A02EF}"/>
    <hyperlink ref="H28" r:id="rId49" display="https://ts.accenture.com/:x:/r/sites/MMDBuySide-CIOTeam/Shared Documents/General/Test Team/FY26/FY26.3 - June Release/Sprint 18/TC_MMD_BuySide_R26.3_S18_1093873_MMS Opportunity ID on Agreement Creation for Single Client Deals.xlsx?d=w56c88ec73f6247f4aa9c4c831d99c47b&amp;csf=1&amp;web=1&amp;e=0CdOON" xr:uid="{B9F706FB-13D9-4CD7-86DD-ED88F297CC67}"/>
    <hyperlink ref="D27" r:id="rId50" display="https://dev.azure.com/accenturecio24/CategoryToContract_PR1085/_workitems/edit/1088601" xr:uid="{A3654007-8E57-4A4B-8C77-E6029F9A52C7}"/>
    <hyperlink ref="H24" r:id="rId51" xr:uid="{05E17FB8-9A78-4733-A94B-660EC70D0B8C}"/>
    <hyperlink ref="H25" r:id="rId52" xr:uid="{27136438-EF33-478B-AC45-D24115B5FA00}"/>
    <hyperlink ref="D31" r:id="rId53" display="1131246" xr:uid="{007A6357-9B8E-4149-8FF2-A5012CD1A827}"/>
    <hyperlink ref="H31" r:id="rId54" xr:uid="{B6A84819-74D4-43C0-9020-D8E730DDF8D4}"/>
    <hyperlink ref="H32" r:id="rId55" xr:uid="{64CE541C-ED28-4344-8B62-67A53C953153}"/>
    <hyperlink ref="D32" r:id="rId56" display="1131306" xr:uid="{95436D1A-E026-4968-9EC9-1DE45CF00D3C}"/>
  </hyperlinks>
  <pageMargins left="0.7" right="0.7" top="0.75" bottom="0.75" header="0.3" footer="0.3"/>
  <pageSetup orientation="portrait" r:id="rId57"/>
  <legacyDrawing r:id="rId5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1953-E765-4AFD-B0B6-306DB7185F1C}">
  <sheetPr codeName="Sheet4">
    <tabColor rgb="FF00B050"/>
  </sheetPr>
  <dimension ref="A2:N207"/>
  <sheetViews>
    <sheetView showGridLines="0" topLeftCell="A190" zoomScale="85" zoomScaleNormal="85" zoomScaleSheetLayoutView="100" workbookViewId="0">
      <pane xSplit="2" topLeftCell="C1" activePane="topRight" state="frozen"/>
      <selection pane="topRight" activeCell="G190" sqref="G190"/>
      <selection activeCell="A93" sqref="A93"/>
    </sheetView>
  </sheetViews>
  <sheetFormatPr defaultRowHeight="15"/>
  <cols>
    <col min="1" max="1" width="82.140625" customWidth="1"/>
    <col min="2" max="2" width="18.140625" customWidth="1"/>
    <col min="3" max="3" width="12.42578125" customWidth="1"/>
    <col min="4" max="4" width="15.28515625" customWidth="1"/>
    <col min="5" max="5" width="16" customWidth="1"/>
    <col min="6" max="6" width="15.42578125" customWidth="1"/>
    <col min="7" max="7" width="12.5703125" customWidth="1"/>
    <col min="8" max="8" width="15.7109375" customWidth="1"/>
    <col min="9" max="9" width="29.140625" customWidth="1"/>
    <col min="10" max="10" width="41.140625" customWidth="1"/>
    <col min="11" max="11" width="3.140625" style="31" hidden="1" customWidth="1"/>
    <col min="12" max="12" width="31.5703125" customWidth="1"/>
    <col min="13" max="13" width="22.5703125" customWidth="1"/>
    <col min="14" max="14" width="13.7109375" bestFit="1" customWidth="1"/>
    <col min="15" max="15" width="10.42578125" customWidth="1"/>
    <col min="16" max="16" width="14.5703125" bestFit="1" customWidth="1"/>
    <col min="17" max="17" width="12.7109375" customWidth="1"/>
    <col min="18" max="18" width="10.42578125" customWidth="1"/>
    <col min="19" max="19" width="12.28515625" bestFit="1" customWidth="1"/>
    <col min="20" max="23" width="12.7109375" customWidth="1"/>
  </cols>
  <sheetData>
    <row r="2" spans="1:12" ht="18.75">
      <c r="A2" s="268" t="s">
        <v>256</v>
      </c>
      <c r="B2" s="266"/>
      <c r="C2" s="266"/>
      <c r="D2" s="266"/>
      <c r="E2" s="266"/>
      <c r="F2" s="266"/>
      <c r="G2" s="266"/>
      <c r="H2" s="266"/>
      <c r="I2" s="266"/>
      <c r="J2" s="266"/>
      <c r="K2" s="267"/>
      <c r="L2" s="266"/>
    </row>
    <row r="3" spans="1:12">
      <c r="A3" s="297" t="s">
        <v>257</v>
      </c>
      <c r="B3" s="430" t="s">
        <v>258</v>
      </c>
      <c r="C3" s="431" t="s">
        <v>259</v>
      </c>
      <c r="D3" s="432" t="s">
        <v>260</v>
      </c>
      <c r="E3" s="37" t="s">
        <v>261</v>
      </c>
      <c r="F3" s="433" t="s">
        <v>121</v>
      </c>
      <c r="G3" s="265" t="s">
        <v>262</v>
      </c>
      <c r="H3" s="265" t="s">
        <v>263</v>
      </c>
      <c r="I3" s="265" t="s">
        <v>264</v>
      </c>
      <c r="J3" s="265" t="s">
        <v>65</v>
      </c>
      <c r="K3" s="265"/>
      <c r="L3" s="265"/>
    </row>
    <row r="4" spans="1:12" ht="30">
      <c r="A4" s="293" t="s">
        <v>132</v>
      </c>
      <c r="B4" s="295">
        <v>8</v>
      </c>
      <c r="C4" s="24">
        <v>0</v>
      </c>
      <c r="D4" s="24">
        <v>0</v>
      </c>
      <c r="E4" s="25">
        <v>0</v>
      </c>
      <c r="F4" s="24">
        <v>0</v>
      </c>
      <c r="G4" s="24">
        <f>SUM(B4:F4)</f>
        <v>8</v>
      </c>
      <c r="H4" s="26"/>
      <c r="I4" s="26" t="s">
        <v>85</v>
      </c>
      <c r="J4" s="27"/>
      <c r="K4" s="28"/>
      <c r="L4" s="1"/>
    </row>
    <row r="5" spans="1:12" ht="30">
      <c r="A5" s="293" t="s">
        <v>136</v>
      </c>
      <c r="B5" s="296">
        <v>10</v>
      </c>
      <c r="C5" s="24">
        <v>0</v>
      </c>
      <c r="D5" s="24">
        <v>0</v>
      </c>
      <c r="E5" s="25">
        <v>0</v>
      </c>
      <c r="F5" s="24">
        <v>0</v>
      </c>
      <c r="G5" s="24">
        <v>10</v>
      </c>
      <c r="H5" s="26"/>
      <c r="I5" s="26" t="s">
        <v>114</v>
      </c>
      <c r="J5" s="27"/>
      <c r="K5" s="28"/>
      <c r="L5" s="1"/>
    </row>
    <row r="6" spans="1:12" ht="15" customHeight="1">
      <c r="A6" s="294" t="s">
        <v>125</v>
      </c>
      <c r="B6" s="296">
        <v>129</v>
      </c>
      <c r="C6" s="24">
        <v>0</v>
      </c>
      <c r="D6" s="24">
        <v>0</v>
      </c>
      <c r="E6" s="25">
        <v>0</v>
      </c>
      <c r="F6" s="24">
        <v>0</v>
      </c>
      <c r="G6" s="25">
        <f t="shared" ref="G6:G9" si="0">SUM(B6:F6)</f>
        <v>129</v>
      </c>
      <c r="H6" s="26"/>
      <c r="I6" s="26" t="s">
        <v>265</v>
      </c>
      <c r="J6" s="27"/>
      <c r="K6" s="28"/>
      <c r="L6" s="1"/>
    </row>
    <row r="7" spans="1:12" ht="30">
      <c r="A7" s="293" t="s">
        <v>141</v>
      </c>
      <c r="B7" s="296">
        <v>9</v>
      </c>
      <c r="C7" s="24">
        <v>0</v>
      </c>
      <c r="D7" s="24">
        <v>0</v>
      </c>
      <c r="E7" s="25">
        <v>0</v>
      </c>
      <c r="F7" s="24">
        <v>0</v>
      </c>
      <c r="G7" s="25">
        <f t="shared" si="0"/>
        <v>9</v>
      </c>
      <c r="H7" s="26"/>
      <c r="I7" s="26" t="s">
        <v>68</v>
      </c>
      <c r="J7" s="27"/>
      <c r="K7" s="28"/>
      <c r="L7" s="1"/>
    </row>
    <row r="8" spans="1:12" ht="30">
      <c r="A8" s="293" t="s">
        <v>145</v>
      </c>
      <c r="B8" s="296">
        <v>7</v>
      </c>
      <c r="C8" s="24">
        <v>0</v>
      </c>
      <c r="D8" s="24">
        <v>0</v>
      </c>
      <c r="E8" s="25">
        <v>0</v>
      </c>
      <c r="F8" s="24">
        <v>0</v>
      </c>
      <c r="G8" s="25">
        <f t="shared" si="0"/>
        <v>7</v>
      </c>
      <c r="H8" s="26"/>
      <c r="I8" s="26" t="s">
        <v>86</v>
      </c>
      <c r="J8" s="27"/>
      <c r="K8" s="28"/>
      <c r="L8" s="1"/>
    </row>
    <row r="9" spans="1:12" ht="30">
      <c r="A9" s="293" t="s">
        <v>118</v>
      </c>
      <c r="B9" s="296">
        <v>3</v>
      </c>
      <c r="C9" s="24">
        <v>0</v>
      </c>
      <c r="D9" s="24">
        <v>0</v>
      </c>
      <c r="E9" s="25">
        <v>0</v>
      </c>
      <c r="F9" s="24">
        <v>0</v>
      </c>
      <c r="G9" s="25">
        <f t="shared" si="0"/>
        <v>3</v>
      </c>
      <c r="H9" s="26"/>
      <c r="I9" s="26" t="s">
        <v>114</v>
      </c>
      <c r="J9" s="27"/>
      <c r="K9" s="28"/>
      <c r="L9" s="1"/>
    </row>
    <row r="10" spans="1:12">
      <c r="B10" s="430" t="s">
        <v>258</v>
      </c>
      <c r="C10" s="431" t="s">
        <v>259</v>
      </c>
      <c r="D10" s="432" t="s">
        <v>260</v>
      </c>
      <c r="E10" s="37" t="s">
        <v>261</v>
      </c>
      <c r="F10" s="433" t="s">
        <v>121</v>
      </c>
      <c r="G10" s="32" t="s">
        <v>262</v>
      </c>
      <c r="H10" s="32" t="s">
        <v>263</v>
      </c>
      <c r="I10" s="33"/>
    </row>
    <row r="11" spans="1:12">
      <c r="B11" s="34">
        <f>SUM(B4:B9)</f>
        <v>166</v>
      </c>
      <c r="C11" s="35">
        <f t="shared" ref="C11:H11" si="1">SUM(C4:C9)</f>
        <v>0</v>
      </c>
      <c r="D11" s="34">
        <f t="shared" si="1"/>
        <v>0</v>
      </c>
      <c r="E11" s="34">
        <f t="shared" si="1"/>
        <v>0</v>
      </c>
      <c r="F11" s="34">
        <f t="shared" si="1"/>
        <v>0</v>
      </c>
      <c r="G11" s="34">
        <f>SUM(G4:G9)</f>
        <v>166</v>
      </c>
      <c r="H11" s="34">
        <f t="shared" si="1"/>
        <v>0</v>
      </c>
      <c r="I11" s="36"/>
    </row>
    <row r="37" spans="1:12" ht="18.75">
      <c r="A37" s="20" t="s">
        <v>266</v>
      </c>
      <c r="B37" s="21"/>
      <c r="C37" s="21"/>
      <c r="D37" s="21"/>
      <c r="E37" s="21"/>
      <c r="F37" s="21"/>
      <c r="G37" s="21"/>
      <c r="H37" s="21"/>
      <c r="I37" s="21"/>
      <c r="J37" s="21"/>
      <c r="K37" s="22"/>
      <c r="L37" s="21"/>
    </row>
    <row r="38" spans="1:12">
      <c r="A38" s="37"/>
      <c r="B38" s="430" t="s">
        <v>258</v>
      </c>
      <c r="C38" s="431" t="s">
        <v>259</v>
      </c>
      <c r="D38" s="432" t="s">
        <v>260</v>
      </c>
      <c r="E38" s="37" t="s">
        <v>261</v>
      </c>
      <c r="F38" s="433" t="s">
        <v>121</v>
      </c>
      <c r="G38" s="37" t="s">
        <v>262</v>
      </c>
      <c r="H38" s="37" t="s">
        <v>263</v>
      </c>
      <c r="I38" s="297" t="s">
        <v>264</v>
      </c>
      <c r="J38" s="297" t="s">
        <v>65</v>
      </c>
      <c r="K38" s="38"/>
      <c r="L38" s="23"/>
    </row>
    <row r="39" spans="1:12" ht="14.25" customHeight="1">
      <c r="A39" s="420" t="s">
        <v>267</v>
      </c>
      <c r="B39" s="327">
        <v>10</v>
      </c>
      <c r="C39" s="39">
        <v>0</v>
      </c>
      <c r="D39" s="39">
        <v>0</v>
      </c>
      <c r="E39" s="39">
        <v>0</v>
      </c>
      <c r="F39" s="39">
        <v>0</v>
      </c>
      <c r="G39" s="39">
        <f>SUM(B39:F39)</f>
        <v>10</v>
      </c>
      <c r="H39" s="329">
        <v>0</v>
      </c>
      <c r="I39" s="332" t="s">
        <v>114</v>
      </c>
      <c r="J39" s="333"/>
    </row>
    <row r="40" spans="1:12" ht="13.5" customHeight="1">
      <c r="A40" s="419" t="s">
        <v>268</v>
      </c>
      <c r="B40" s="205">
        <v>10</v>
      </c>
      <c r="C40" s="336">
        <v>0</v>
      </c>
      <c r="D40" s="336">
        <v>0</v>
      </c>
      <c r="E40" s="205">
        <v>0</v>
      </c>
      <c r="F40" s="336">
        <v>0</v>
      </c>
      <c r="G40" s="205">
        <v>10</v>
      </c>
      <c r="H40" s="337">
        <v>0</v>
      </c>
      <c r="I40" s="332" t="s">
        <v>86</v>
      </c>
      <c r="J40" s="333"/>
    </row>
    <row r="41" spans="1:12" ht="13.5" customHeight="1">
      <c r="A41" s="419" t="s">
        <v>269</v>
      </c>
      <c r="B41" s="205">
        <v>9</v>
      </c>
      <c r="C41" s="336">
        <v>0</v>
      </c>
      <c r="D41" s="336">
        <v>0</v>
      </c>
      <c r="E41" s="205">
        <v>0</v>
      </c>
      <c r="F41" s="336">
        <v>0</v>
      </c>
      <c r="G41" s="205">
        <v>9</v>
      </c>
      <c r="H41" s="337">
        <v>0</v>
      </c>
      <c r="I41" s="332" t="s">
        <v>157</v>
      </c>
      <c r="J41" s="333"/>
    </row>
    <row r="42" spans="1:12">
      <c r="B42" s="430" t="s">
        <v>258</v>
      </c>
      <c r="C42" s="431" t="s">
        <v>259</v>
      </c>
      <c r="D42" s="432" t="s">
        <v>260</v>
      </c>
      <c r="E42" s="37" t="s">
        <v>261</v>
      </c>
      <c r="F42" s="433" t="s">
        <v>121</v>
      </c>
      <c r="G42" s="38" t="s">
        <v>262</v>
      </c>
      <c r="H42" s="330" t="s">
        <v>263</v>
      </c>
      <c r="I42" s="55"/>
      <c r="J42" s="54"/>
    </row>
    <row r="43" spans="1:12">
      <c r="B43" s="24">
        <f t="shared" ref="B43:F43" si="2">SUM(B39:B41)</f>
        <v>29</v>
      </c>
      <c r="C43" s="24">
        <f t="shared" si="2"/>
        <v>0</v>
      </c>
      <c r="D43" s="24">
        <f t="shared" si="2"/>
        <v>0</v>
      </c>
      <c r="E43" s="24">
        <f t="shared" si="2"/>
        <v>0</v>
      </c>
      <c r="F43" s="24">
        <f t="shared" si="2"/>
        <v>0</v>
      </c>
      <c r="G43" s="24">
        <f>SUM(G39:G41)</f>
        <v>29</v>
      </c>
      <c r="H43" s="331">
        <f ca="1">SUM(H39:H44)</f>
        <v>0</v>
      </c>
      <c r="I43" s="332"/>
      <c r="J43" s="54"/>
    </row>
    <row r="44" spans="1:12">
      <c r="B44" s="56"/>
      <c r="C44" s="56"/>
      <c r="D44" s="56"/>
      <c r="E44" s="417"/>
      <c r="F44" s="56"/>
      <c r="G44" s="56"/>
      <c r="H44" s="56"/>
      <c r="I44" s="56"/>
    </row>
    <row r="45" spans="1:12">
      <c r="F45" t="s">
        <v>270</v>
      </c>
    </row>
    <row r="63" spans="1:12" ht="15.75" thickBot="1"/>
    <row r="64" spans="1:12" ht="19.5" thickBot="1">
      <c r="A64" s="51" t="s">
        <v>271</v>
      </c>
      <c r="B64" s="52"/>
      <c r="C64" s="52"/>
      <c r="D64" s="52"/>
      <c r="E64" s="52"/>
      <c r="F64" s="52"/>
      <c r="G64" s="52"/>
      <c r="H64" s="52"/>
      <c r="I64" s="52"/>
      <c r="J64" s="52"/>
      <c r="K64" s="53"/>
      <c r="L64" s="21"/>
    </row>
    <row r="65" spans="1:14">
      <c r="A65" s="37"/>
      <c r="B65" s="430" t="s">
        <v>258</v>
      </c>
      <c r="C65" s="431" t="s">
        <v>259</v>
      </c>
      <c r="D65" s="432" t="s">
        <v>260</v>
      </c>
      <c r="E65" s="37" t="s">
        <v>261</v>
      </c>
      <c r="F65" s="433" t="s">
        <v>121</v>
      </c>
      <c r="G65" s="37" t="s">
        <v>262</v>
      </c>
      <c r="H65" s="37" t="s">
        <v>263</v>
      </c>
      <c r="I65" s="507" t="s">
        <v>272</v>
      </c>
      <c r="J65" s="38"/>
      <c r="K65" s="23"/>
      <c r="L65" s="23"/>
    </row>
    <row r="66" spans="1:14" ht="13.5" customHeight="1">
      <c r="A66" s="510" t="s">
        <v>158</v>
      </c>
      <c r="B66" s="511">
        <v>16</v>
      </c>
      <c r="C66" s="511">
        <v>0</v>
      </c>
      <c r="D66" s="511">
        <v>0</v>
      </c>
      <c r="E66" s="512">
        <v>0</v>
      </c>
      <c r="F66" s="512">
        <v>0</v>
      </c>
      <c r="G66" s="513">
        <f>SUM(B66:F66)</f>
        <v>16</v>
      </c>
      <c r="H66" s="514"/>
      <c r="I66" s="513" t="s">
        <v>273</v>
      </c>
      <c r="J66" s="508"/>
      <c r="K66" s="508"/>
      <c r="L66" s="508"/>
      <c r="M66" s="421"/>
      <c r="N66" s="421"/>
    </row>
    <row r="67" spans="1:14">
      <c r="A67" s="515" t="s">
        <v>182</v>
      </c>
      <c r="B67" s="516">
        <v>129</v>
      </c>
      <c r="C67" s="517">
        <v>0</v>
      </c>
      <c r="D67" s="517">
        <v>0</v>
      </c>
      <c r="E67" s="517">
        <v>0</v>
      </c>
      <c r="F67" s="518">
        <v>0</v>
      </c>
      <c r="G67" s="519">
        <f>SUM(B67:F67)</f>
        <v>129</v>
      </c>
      <c r="H67" s="520"/>
      <c r="I67" s="521" t="s">
        <v>181</v>
      </c>
      <c r="J67" s="483"/>
      <c r="K67" s="1"/>
      <c r="L67" s="1"/>
    </row>
    <row r="68" spans="1:14" ht="14.25" customHeight="1">
      <c r="A68" s="522" t="s">
        <v>186</v>
      </c>
      <c r="B68" s="517">
        <v>21</v>
      </c>
      <c r="C68" s="517">
        <v>0</v>
      </c>
      <c r="D68" s="517">
        <v>0</v>
      </c>
      <c r="E68" s="517">
        <v>0</v>
      </c>
      <c r="F68" s="518">
        <v>0</v>
      </c>
      <c r="G68" s="519">
        <f>SUM(B68:F68)</f>
        <v>21</v>
      </c>
      <c r="H68" s="520"/>
      <c r="I68" s="521" t="s">
        <v>157</v>
      </c>
      <c r="J68" s="46"/>
      <c r="K68" s="1"/>
      <c r="L68" s="1"/>
    </row>
    <row r="69" spans="1:14" ht="14.25" customHeight="1">
      <c r="A69" s="529" t="s">
        <v>197</v>
      </c>
      <c r="B69" s="517">
        <v>5</v>
      </c>
      <c r="C69" s="517">
        <v>0</v>
      </c>
      <c r="D69" s="517">
        <v>0</v>
      </c>
      <c r="E69" s="517">
        <v>0</v>
      </c>
      <c r="F69" s="518">
        <v>1</v>
      </c>
      <c r="G69" s="519">
        <f t="shared" ref="G69:G70" si="3">SUM(B69:F69)</f>
        <v>6</v>
      </c>
      <c r="H69" s="520"/>
      <c r="I69" s="521" t="s">
        <v>274</v>
      </c>
      <c r="J69" s="46"/>
      <c r="K69" s="1"/>
      <c r="L69" s="1"/>
    </row>
    <row r="70" spans="1:14" ht="16.5" customHeight="1">
      <c r="A70" s="539" t="s">
        <v>172</v>
      </c>
      <c r="B70" s="518">
        <v>438</v>
      </c>
      <c r="C70" s="518">
        <v>0</v>
      </c>
      <c r="D70" s="518">
        <v>0</v>
      </c>
      <c r="E70" s="518">
        <v>0</v>
      </c>
      <c r="F70" s="518">
        <v>0</v>
      </c>
      <c r="G70" s="518">
        <f t="shared" si="3"/>
        <v>438</v>
      </c>
      <c r="H70" s="540"/>
      <c r="I70" s="541" t="s">
        <v>171</v>
      </c>
      <c r="J70" s="333" t="s">
        <v>275</v>
      </c>
    </row>
    <row r="71" spans="1:14">
      <c r="A71" s="427"/>
      <c r="B71" s="430" t="s">
        <v>258</v>
      </c>
      <c r="C71" s="431" t="s">
        <v>259</v>
      </c>
      <c r="D71" s="432" t="s">
        <v>260</v>
      </c>
      <c r="E71" s="37" t="s">
        <v>261</v>
      </c>
      <c r="F71" s="433" t="s">
        <v>121</v>
      </c>
      <c r="G71" s="38" t="s">
        <v>262</v>
      </c>
      <c r="H71" s="55" t="s">
        <v>263</v>
      </c>
      <c r="I71" s="33"/>
    </row>
    <row r="72" spans="1:14">
      <c r="B72" s="418">
        <f t="shared" ref="B72:F72" si="4">SUM(B66:B70)</f>
        <v>609</v>
      </c>
      <c r="C72" s="418">
        <f t="shared" si="4"/>
        <v>0</v>
      </c>
      <c r="D72" s="418">
        <f t="shared" si="4"/>
        <v>0</v>
      </c>
      <c r="E72" s="418">
        <f t="shared" si="4"/>
        <v>0</v>
      </c>
      <c r="F72" s="418">
        <f t="shared" si="4"/>
        <v>1</v>
      </c>
      <c r="G72" s="418">
        <f>SUM(G66:G70)</f>
        <v>610</v>
      </c>
      <c r="H72" s="418">
        <f>SUM(H67:H69)</f>
        <v>0</v>
      </c>
      <c r="I72" s="50"/>
    </row>
    <row r="73" spans="1:14">
      <c r="C73" s="31"/>
      <c r="D73" s="31"/>
      <c r="K73"/>
    </row>
    <row r="85" spans="1:10">
      <c r="E85" s="205"/>
    </row>
    <row r="93" spans="1:10" ht="15.75" thickBot="1"/>
    <row r="94" spans="1:10" ht="19.5" thickBot="1">
      <c r="A94" s="51" t="s">
        <v>276</v>
      </c>
      <c r="B94" s="52"/>
      <c r="C94" s="52"/>
      <c r="D94" s="52"/>
      <c r="E94" s="52"/>
      <c r="F94" s="52"/>
      <c r="G94" s="52"/>
      <c r="H94" s="52"/>
      <c r="I94" s="52"/>
      <c r="J94" s="52"/>
    </row>
    <row r="95" spans="1:10">
      <c r="A95" s="37"/>
      <c r="B95" s="430" t="s">
        <v>258</v>
      </c>
      <c r="C95" s="431" t="s">
        <v>259</v>
      </c>
      <c r="D95" s="432" t="s">
        <v>260</v>
      </c>
      <c r="E95" s="37" t="s">
        <v>261</v>
      </c>
      <c r="F95" s="433" t="s">
        <v>121</v>
      </c>
      <c r="G95" s="37" t="s">
        <v>262</v>
      </c>
      <c r="H95" s="37" t="s">
        <v>277</v>
      </c>
      <c r="I95" s="507" t="s">
        <v>272</v>
      </c>
      <c r="J95" s="38"/>
    </row>
    <row r="96" spans="1:10">
      <c r="A96" s="544" t="s">
        <v>205</v>
      </c>
      <c r="B96" s="518">
        <v>8</v>
      </c>
      <c r="C96" s="518">
        <v>0</v>
      </c>
      <c r="D96" s="518">
        <v>0</v>
      </c>
      <c r="E96" s="518">
        <v>0</v>
      </c>
      <c r="F96" s="518">
        <v>0</v>
      </c>
      <c r="G96" s="518">
        <f t="shared" ref="G96:G100" si="5">SUM(B96:F96)</f>
        <v>8</v>
      </c>
      <c r="H96" s="545"/>
      <c r="I96" s="610" t="s">
        <v>157</v>
      </c>
      <c r="J96" s="546"/>
    </row>
    <row r="97" spans="1:14">
      <c r="A97" s="544" t="s">
        <v>209</v>
      </c>
      <c r="B97" s="518">
        <v>2</v>
      </c>
      <c r="C97" s="518">
        <v>0</v>
      </c>
      <c r="D97" s="518">
        <v>0</v>
      </c>
      <c r="E97" s="518">
        <v>0</v>
      </c>
      <c r="F97" s="518">
        <v>0</v>
      </c>
      <c r="G97" s="518">
        <v>2</v>
      </c>
      <c r="H97" s="586"/>
      <c r="I97" s="521" t="s">
        <v>69</v>
      </c>
      <c r="J97" s="587"/>
    </row>
    <row r="98" spans="1:14">
      <c r="A98" s="611" t="s">
        <v>214</v>
      </c>
      <c r="B98" s="518">
        <v>129</v>
      </c>
      <c r="C98" s="518">
        <v>0</v>
      </c>
      <c r="D98" s="518">
        <v>0</v>
      </c>
      <c r="E98" s="518">
        <v>0</v>
      </c>
      <c r="F98" s="518">
        <v>0</v>
      </c>
      <c r="G98" s="518">
        <f t="shared" si="5"/>
        <v>129</v>
      </c>
      <c r="H98" s="586"/>
      <c r="I98" s="521" t="s">
        <v>213</v>
      </c>
      <c r="J98" s="619"/>
    </row>
    <row r="99" spans="1:14">
      <c r="A99" s="544" t="s">
        <v>219</v>
      </c>
      <c r="B99" s="518">
        <v>5</v>
      </c>
      <c r="C99" s="518">
        <v>0</v>
      </c>
      <c r="D99" s="518">
        <v>0</v>
      </c>
      <c r="E99" s="518">
        <v>0</v>
      </c>
      <c r="F99" s="518">
        <v>0</v>
      </c>
      <c r="G99" s="518">
        <v>5</v>
      </c>
      <c r="H99" s="586"/>
      <c r="I99" s="521" t="s">
        <v>218</v>
      </c>
      <c r="J99" s="632"/>
    </row>
    <row r="100" spans="1:14" ht="14.25" customHeight="1">
      <c r="A100" s="544" t="s">
        <v>225</v>
      </c>
      <c r="B100" s="518">
        <v>46</v>
      </c>
      <c r="C100" s="518">
        <v>0</v>
      </c>
      <c r="D100" s="518">
        <v>0</v>
      </c>
      <c r="E100" s="518">
        <v>0</v>
      </c>
      <c r="F100" s="518">
        <v>0</v>
      </c>
      <c r="G100" s="518">
        <f t="shared" si="5"/>
        <v>46</v>
      </c>
      <c r="H100" s="540"/>
      <c r="I100" s="540" t="s">
        <v>224</v>
      </c>
      <c r="J100" s="521"/>
    </row>
    <row r="101" spans="1:14">
      <c r="A101" s="544" t="s">
        <v>229</v>
      </c>
      <c r="B101" s="518">
        <v>6</v>
      </c>
      <c r="C101" s="518">
        <v>0</v>
      </c>
      <c r="D101" s="518">
        <v>0</v>
      </c>
      <c r="E101" s="518">
        <v>0</v>
      </c>
      <c r="F101" s="518">
        <v>0</v>
      </c>
      <c r="G101" s="518">
        <f>SUM(B101:F101)</f>
        <v>6</v>
      </c>
      <c r="H101" s="586"/>
      <c r="I101" s="521" t="s">
        <v>157</v>
      </c>
      <c r="J101" s="521"/>
    </row>
    <row r="102" spans="1:14" ht="14.25" customHeight="1">
      <c r="A102" s="544" t="s">
        <v>278</v>
      </c>
      <c r="B102" s="518">
        <v>4</v>
      </c>
      <c r="C102" s="518">
        <v>0</v>
      </c>
      <c r="D102" s="518">
        <v>0</v>
      </c>
      <c r="E102" s="518">
        <v>0</v>
      </c>
      <c r="F102" s="518">
        <v>0</v>
      </c>
      <c r="G102" s="518">
        <v>4</v>
      </c>
      <c r="H102" s="586"/>
      <c r="I102" s="521" t="s">
        <v>69</v>
      </c>
      <c r="J102" s="622"/>
    </row>
    <row r="103" spans="1:14" hidden="1">
      <c r="A103" s="484" t="s">
        <v>238</v>
      </c>
      <c r="B103" s="485">
        <v>0</v>
      </c>
      <c r="C103" s="485">
        <v>0</v>
      </c>
      <c r="D103" s="485">
        <v>0</v>
      </c>
      <c r="E103" s="485">
        <v>0</v>
      </c>
      <c r="F103" s="485">
        <v>0</v>
      </c>
      <c r="G103" s="485">
        <v>0</v>
      </c>
      <c r="H103" s="486"/>
      <c r="I103" s="487"/>
      <c r="J103" s="612"/>
    </row>
    <row r="104" spans="1:14" hidden="1">
      <c r="A104" s="484" t="s">
        <v>243</v>
      </c>
      <c r="B104" s="485">
        <v>0</v>
      </c>
      <c r="C104" s="485">
        <v>0</v>
      </c>
      <c r="D104" s="485">
        <v>0</v>
      </c>
      <c r="E104" s="485">
        <v>0</v>
      </c>
      <c r="F104" s="485">
        <v>0</v>
      </c>
      <c r="G104" s="485">
        <v>0</v>
      </c>
      <c r="H104" s="486"/>
      <c r="I104" s="487"/>
      <c r="J104" s="485"/>
    </row>
    <row r="105" spans="1:14" hidden="1">
      <c r="A105" s="484" t="s">
        <v>245</v>
      </c>
      <c r="B105" s="485">
        <v>0</v>
      </c>
      <c r="C105" s="485">
        <v>0</v>
      </c>
      <c r="D105" s="485">
        <v>0</v>
      </c>
      <c r="E105" s="485">
        <v>0</v>
      </c>
      <c r="F105" s="485">
        <v>0</v>
      </c>
      <c r="G105" s="485">
        <v>0</v>
      </c>
      <c r="H105" s="486"/>
      <c r="I105" s="487"/>
      <c r="J105" s="485"/>
    </row>
    <row r="106" spans="1:14" s="590" customFormat="1" ht="17.25" customHeight="1">
      <c r="A106" s="544" t="s">
        <v>247</v>
      </c>
      <c r="B106" s="518">
        <v>6</v>
      </c>
      <c r="C106" s="518">
        <v>0</v>
      </c>
      <c r="D106" s="518">
        <v>0</v>
      </c>
      <c r="E106" s="518">
        <v>0</v>
      </c>
      <c r="F106" s="518">
        <v>0</v>
      </c>
      <c r="G106" s="518">
        <v>6</v>
      </c>
      <c r="H106" s="586"/>
      <c r="I106" s="521" t="s">
        <v>85</v>
      </c>
      <c r="J106" s="518"/>
      <c r="K106" s="618"/>
    </row>
    <row r="107" spans="1:14" s="719" customFormat="1">
      <c r="A107" s="544" t="s">
        <v>252</v>
      </c>
      <c r="B107" s="518">
        <v>4</v>
      </c>
      <c r="C107" s="518">
        <v>0</v>
      </c>
      <c r="D107" s="518">
        <v>0</v>
      </c>
      <c r="E107" s="518">
        <v>0</v>
      </c>
      <c r="F107" s="518">
        <v>0</v>
      </c>
      <c r="G107" s="518">
        <v>4</v>
      </c>
      <c r="H107" s="586"/>
      <c r="I107" s="521" t="s">
        <v>85</v>
      </c>
      <c r="J107" s="518"/>
      <c r="K107" s="718"/>
    </row>
    <row r="108" spans="1:14" s="590" customFormat="1" ht="30">
      <c r="A108" s="529" t="s">
        <v>201</v>
      </c>
      <c r="B108" s="516">
        <v>4</v>
      </c>
      <c r="C108" s="517">
        <v>0</v>
      </c>
      <c r="D108" s="517">
        <v>0</v>
      </c>
      <c r="E108" s="517">
        <v>0</v>
      </c>
      <c r="F108" s="518">
        <v>0</v>
      </c>
      <c r="G108" s="519">
        <v>6</v>
      </c>
      <c r="H108" s="586"/>
      <c r="I108" s="708" t="s">
        <v>86</v>
      </c>
      <c r="J108" s="516"/>
      <c r="K108"/>
      <c r="L108"/>
      <c r="M108"/>
      <c r="N108"/>
    </row>
    <row r="109" spans="1:14">
      <c r="A109" s="529" t="s">
        <v>192</v>
      </c>
      <c r="B109" s="517">
        <v>76</v>
      </c>
      <c r="C109" s="517">
        <v>0</v>
      </c>
      <c r="D109" s="517">
        <v>0</v>
      </c>
      <c r="E109" s="517">
        <v>0</v>
      </c>
      <c r="F109" s="518">
        <v>0</v>
      </c>
      <c r="G109" s="519">
        <f>SUM(B109:F109)</f>
        <v>76</v>
      </c>
      <c r="H109" s="586"/>
      <c r="I109" s="521" t="s">
        <v>191</v>
      </c>
      <c r="J109" s="756"/>
      <c r="K109" s="543"/>
    </row>
    <row r="110" spans="1:14">
      <c r="B110" s="430" t="s">
        <v>258</v>
      </c>
      <c r="C110" s="431" t="s">
        <v>259</v>
      </c>
      <c r="D110" s="432" t="s">
        <v>260</v>
      </c>
      <c r="E110" s="37" t="s">
        <v>261</v>
      </c>
      <c r="F110" s="433" t="s">
        <v>121</v>
      </c>
      <c r="G110" s="38" t="s">
        <v>262</v>
      </c>
      <c r="H110" s="509" t="s">
        <v>277</v>
      </c>
      <c r="I110" s="33"/>
    </row>
    <row r="111" spans="1:14">
      <c r="B111" s="418">
        <f>SUM(B96:B109)</f>
        <v>290</v>
      </c>
      <c r="C111" s="418">
        <f t="shared" ref="C111:F111" si="6">SUM(C96:C109)</f>
        <v>0</v>
      </c>
      <c r="D111" s="418">
        <f t="shared" si="6"/>
        <v>0</v>
      </c>
      <c r="E111" s="418">
        <f t="shared" si="6"/>
        <v>0</v>
      </c>
      <c r="F111" s="418">
        <f t="shared" si="6"/>
        <v>0</v>
      </c>
      <c r="G111" s="418">
        <f>SUM(G96:G109)</f>
        <v>292</v>
      </c>
      <c r="H111" s="418">
        <f>SUM(H97:H105)</f>
        <v>0</v>
      </c>
      <c r="I111" s="50"/>
    </row>
    <row r="136" spans="1:12" ht="18.75">
      <c r="A136" s="41" t="s">
        <v>279</v>
      </c>
      <c r="B136" s="42"/>
      <c r="C136" s="42"/>
      <c r="D136" s="42"/>
      <c r="E136" s="42"/>
      <c r="F136" s="42"/>
      <c r="G136" s="42"/>
      <c r="H136" s="42"/>
      <c r="I136" s="42"/>
      <c r="J136" s="42"/>
      <c r="K136" s="43"/>
      <c r="L136" s="44"/>
    </row>
    <row r="137" spans="1:12">
      <c r="A137" s="37"/>
      <c r="B137" s="37" t="s">
        <v>258</v>
      </c>
      <c r="C137" s="37" t="s">
        <v>259</v>
      </c>
      <c r="D137" s="37" t="s">
        <v>260</v>
      </c>
      <c r="E137" s="37" t="s">
        <v>261</v>
      </c>
      <c r="F137" s="37" t="s">
        <v>121</v>
      </c>
      <c r="G137" s="37" t="s">
        <v>262</v>
      </c>
      <c r="H137" s="37" t="s">
        <v>263</v>
      </c>
      <c r="I137" s="37" t="s">
        <v>272</v>
      </c>
      <c r="J137" s="37"/>
      <c r="K137" s="38"/>
      <c r="L137" s="32"/>
    </row>
    <row r="138" spans="1:12">
      <c r="A138" s="384" t="s">
        <v>280</v>
      </c>
      <c r="B138" s="1">
        <v>2</v>
      </c>
      <c r="C138" s="1">
        <v>0</v>
      </c>
      <c r="D138" s="1">
        <v>0</v>
      </c>
      <c r="E138" s="1">
        <v>0</v>
      </c>
      <c r="F138" s="1">
        <v>0</v>
      </c>
      <c r="G138" s="1">
        <v>0</v>
      </c>
      <c r="H138" s="45">
        <f>G138-F138</f>
        <v>0</v>
      </c>
      <c r="I138" s="45"/>
      <c r="J138" s="40"/>
      <c r="K138" s="46"/>
      <c r="L138" s="1"/>
    </row>
    <row r="139" spans="1:12">
      <c r="A139" s="384" t="s">
        <v>281</v>
      </c>
      <c r="B139" s="1">
        <v>2</v>
      </c>
      <c r="C139" s="1">
        <v>0</v>
      </c>
      <c r="D139" s="1">
        <v>0</v>
      </c>
      <c r="E139" s="1">
        <v>0</v>
      </c>
      <c r="F139" s="1">
        <v>0</v>
      </c>
      <c r="G139" s="1">
        <v>23</v>
      </c>
      <c r="H139" s="45">
        <f>G139-F139</f>
        <v>23</v>
      </c>
      <c r="I139" s="45"/>
      <c r="J139" s="40"/>
      <c r="K139" s="46"/>
      <c r="L139" s="1"/>
    </row>
    <row r="140" spans="1:12" ht="21">
      <c r="A140" s="384" t="s">
        <v>282</v>
      </c>
      <c r="B140" s="1">
        <v>2</v>
      </c>
      <c r="C140" s="1">
        <v>0</v>
      </c>
      <c r="D140" s="1">
        <v>0</v>
      </c>
      <c r="E140" s="1">
        <v>0</v>
      </c>
      <c r="F140" s="1">
        <v>0</v>
      </c>
      <c r="G140" s="1">
        <v>7</v>
      </c>
      <c r="H140" s="45">
        <f>G140-F140</f>
        <v>7</v>
      </c>
      <c r="I140" s="45"/>
      <c r="J140" s="30"/>
    </row>
    <row r="141" spans="1:12">
      <c r="A141" s="384" t="s">
        <v>283</v>
      </c>
      <c r="B141" s="1">
        <v>2</v>
      </c>
      <c r="C141" s="1">
        <v>0</v>
      </c>
      <c r="D141" s="1">
        <v>0</v>
      </c>
      <c r="E141" s="1">
        <v>0</v>
      </c>
      <c r="F141" s="1">
        <v>0</v>
      </c>
      <c r="G141" s="1">
        <v>18</v>
      </c>
      <c r="H141" s="45">
        <f>G141-F141</f>
        <v>18</v>
      </c>
      <c r="I141" s="45"/>
      <c r="J141" s="30"/>
    </row>
    <row r="142" spans="1:12" ht="24" customHeight="1">
      <c r="A142" s="384" t="s">
        <v>284</v>
      </c>
      <c r="B142" s="1">
        <v>0</v>
      </c>
      <c r="C142" s="1">
        <v>0</v>
      </c>
      <c r="D142" s="1">
        <v>0</v>
      </c>
      <c r="E142" s="1">
        <v>0</v>
      </c>
      <c r="F142" s="1">
        <v>2</v>
      </c>
      <c r="G142" s="1">
        <v>0</v>
      </c>
      <c r="H142" s="45">
        <f t="shared" ref="H142:H145" si="7">G142-F142</f>
        <v>-2</v>
      </c>
      <c r="I142" s="45"/>
      <c r="J142" s="40"/>
      <c r="K142" s="46"/>
      <c r="L142" s="1"/>
    </row>
    <row r="143" spans="1:12" ht="17.25" customHeight="1">
      <c r="A143" s="384" t="s">
        <v>285</v>
      </c>
      <c r="B143" s="1">
        <v>2</v>
      </c>
      <c r="C143" s="1">
        <v>0</v>
      </c>
      <c r="D143" s="1">
        <v>0</v>
      </c>
      <c r="E143" s="1">
        <v>0</v>
      </c>
      <c r="F143" s="1">
        <v>0</v>
      </c>
      <c r="G143" s="1">
        <v>23</v>
      </c>
      <c r="H143" s="45">
        <f t="shared" si="7"/>
        <v>23</v>
      </c>
      <c r="I143" s="45"/>
      <c r="J143" s="40"/>
      <c r="K143" s="46"/>
      <c r="L143" s="1"/>
    </row>
    <row r="144" spans="1:12" ht="18" customHeight="1">
      <c r="A144" s="424" t="s">
        <v>286</v>
      </c>
      <c r="B144" s="1">
        <v>2</v>
      </c>
      <c r="C144" s="1">
        <v>0</v>
      </c>
      <c r="D144" s="1">
        <v>0</v>
      </c>
      <c r="E144" s="1">
        <v>0</v>
      </c>
      <c r="F144" s="1">
        <v>0</v>
      </c>
      <c r="G144" s="1">
        <v>7</v>
      </c>
      <c r="H144" s="45">
        <f t="shared" si="7"/>
        <v>7</v>
      </c>
      <c r="I144" s="45"/>
      <c r="J144" s="30"/>
    </row>
    <row r="145" spans="1:10" ht="16.5" customHeight="1">
      <c r="A145" s="426"/>
      <c r="B145" s="425">
        <v>2</v>
      </c>
      <c r="C145" s="1">
        <v>0</v>
      </c>
      <c r="D145" s="1">
        <v>0</v>
      </c>
      <c r="E145" s="1">
        <v>0</v>
      </c>
      <c r="F145" s="1">
        <v>0</v>
      </c>
      <c r="G145" s="1">
        <v>18</v>
      </c>
      <c r="H145" s="45">
        <f t="shared" si="7"/>
        <v>18</v>
      </c>
      <c r="I145" s="45"/>
      <c r="J145" s="30"/>
    </row>
    <row r="146" spans="1:10">
      <c r="B146" s="47" t="s">
        <v>258</v>
      </c>
      <c r="C146" s="47" t="s">
        <v>259</v>
      </c>
      <c r="D146" s="37" t="s">
        <v>260</v>
      </c>
      <c r="E146" s="37" t="s">
        <v>261</v>
      </c>
      <c r="F146" s="37" t="s">
        <v>121</v>
      </c>
      <c r="G146" s="37" t="s">
        <v>262</v>
      </c>
      <c r="H146" s="48"/>
      <c r="I146" s="48"/>
    </row>
    <row r="147" spans="1:10">
      <c r="B147" s="1">
        <f t="shared" ref="B147:H147" si="8">SUM(B138:B145)</f>
        <v>14</v>
      </c>
      <c r="C147" s="1">
        <f t="shared" si="8"/>
        <v>0</v>
      </c>
      <c r="D147" s="1">
        <f t="shared" si="8"/>
        <v>0</v>
      </c>
      <c r="E147" s="1">
        <f t="shared" si="8"/>
        <v>0</v>
      </c>
      <c r="F147" s="1">
        <f t="shared" si="8"/>
        <v>2</v>
      </c>
      <c r="G147" s="1">
        <f t="shared" si="8"/>
        <v>96</v>
      </c>
      <c r="H147" s="49">
        <f t="shared" si="8"/>
        <v>94</v>
      </c>
      <c r="I147" s="50"/>
    </row>
    <row r="165" spans="1:12" ht="15.75" thickBot="1"/>
    <row r="166" spans="1:12" ht="21" customHeight="1" thickTop="1" thickBot="1">
      <c r="A166" s="799" t="s">
        <v>287</v>
      </c>
      <c r="B166" s="799"/>
      <c r="C166" s="799"/>
      <c r="D166" s="799"/>
      <c r="E166" s="799"/>
      <c r="F166" s="799"/>
      <c r="G166" s="799"/>
      <c r="H166" s="799"/>
      <c r="I166" s="799"/>
      <c r="J166" s="799"/>
      <c r="K166" s="800"/>
      <c r="L166" s="800"/>
    </row>
    <row r="167" spans="1:12" ht="21" customHeight="1" thickTop="1" thickBot="1">
      <c r="A167" s="563"/>
      <c r="B167" s="564" t="s">
        <v>258</v>
      </c>
      <c r="C167" s="565" t="s">
        <v>259</v>
      </c>
      <c r="D167" s="566" t="s">
        <v>260</v>
      </c>
      <c r="E167" s="563" t="s">
        <v>261</v>
      </c>
      <c r="F167" s="567" t="s">
        <v>121</v>
      </c>
      <c r="G167" s="563" t="s">
        <v>262</v>
      </c>
      <c r="H167" s="563" t="s">
        <v>263</v>
      </c>
      <c r="I167" s="563" t="s">
        <v>272</v>
      </c>
      <c r="J167" s="563" t="s">
        <v>65</v>
      </c>
      <c r="K167" s="33"/>
      <c r="L167" s="32"/>
    </row>
    <row r="168" spans="1:12" ht="45" customHeight="1" thickTop="1" thickBot="1">
      <c r="A168" s="623" t="s">
        <v>288</v>
      </c>
      <c r="B168" s="582">
        <v>25</v>
      </c>
      <c r="C168" s="582">
        <v>2</v>
      </c>
      <c r="D168" s="582">
        <v>0</v>
      </c>
      <c r="E168" s="582">
        <v>0</v>
      </c>
      <c r="F168" s="582">
        <v>0</v>
      </c>
      <c r="G168" s="624">
        <f>SUM(B168:F168)</f>
        <v>27</v>
      </c>
      <c r="H168" s="625"/>
      <c r="I168" s="583" t="s">
        <v>157</v>
      </c>
      <c r="J168" s="626" t="s">
        <v>289</v>
      </c>
      <c r="K168" s="627"/>
      <c r="L168" s="628" t="s">
        <v>290</v>
      </c>
    </row>
    <row r="169" spans="1:12" ht="27" customHeight="1" thickTop="1" thickBot="1">
      <c r="A169" s="623" t="s">
        <v>291</v>
      </c>
      <c r="B169" s="582">
        <v>41</v>
      </c>
      <c r="C169" s="582">
        <v>0</v>
      </c>
      <c r="D169" s="582">
        <v>0</v>
      </c>
      <c r="E169" s="582">
        <v>0</v>
      </c>
      <c r="F169" s="582">
        <v>0</v>
      </c>
      <c r="G169" s="583">
        <f t="shared" ref="G169:G174" si="9">SUM(B169:F169)</f>
        <v>41</v>
      </c>
      <c r="H169" s="585"/>
      <c r="I169" s="583" t="s">
        <v>68</v>
      </c>
      <c r="J169" s="626"/>
      <c r="K169" s="629"/>
      <c r="L169" s="630"/>
    </row>
    <row r="170" spans="1:12" ht="44.25" customHeight="1" thickTop="1" thickBot="1">
      <c r="A170" s="600" t="s">
        <v>292</v>
      </c>
      <c r="B170" s="582">
        <v>50</v>
      </c>
      <c r="C170" s="582">
        <v>3</v>
      </c>
      <c r="D170" s="582">
        <v>0</v>
      </c>
      <c r="E170" s="582">
        <v>0</v>
      </c>
      <c r="F170" s="582">
        <v>0</v>
      </c>
      <c r="G170" s="583">
        <f t="shared" si="9"/>
        <v>53</v>
      </c>
      <c r="H170" s="585"/>
      <c r="I170" s="583" t="s">
        <v>69</v>
      </c>
      <c r="J170" s="626" t="s">
        <v>289</v>
      </c>
      <c r="K170" s="631"/>
      <c r="L170" s="628" t="s">
        <v>293</v>
      </c>
    </row>
    <row r="171" spans="1:12" ht="21" customHeight="1" thickTop="1" thickBot="1">
      <c r="A171" s="584" t="s">
        <v>294</v>
      </c>
      <c r="B171" s="582">
        <v>6</v>
      </c>
      <c r="C171" s="582">
        <v>0</v>
      </c>
      <c r="D171" s="582">
        <v>0</v>
      </c>
      <c r="E171" s="582">
        <v>0</v>
      </c>
      <c r="F171" s="582">
        <v>0</v>
      </c>
      <c r="G171" s="583">
        <f t="shared" si="9"/>
        <v>6</v>
      </c>
      <c r="H171" s="585"/>
      <c r="I171" s="583" t="s">
        <v>89</v>
      </c>
      <c r="J171" s="609"/>
      <c r="K171" s="607"/>
      <c r="L171" s="54"/>
    </row>
    <row r="172" spans="1:12" ht="24" customHeight="1" thickTop="1" thickBot="1">
      <c r="A172" s="584" t="s">
        <v>295</v>
      </c>
      <c r="B172" s="582">
        <v>24</v>
      </c>
      <c r="C172" s="582">
        <v>0</v>
      </c>
      <c r="D172" s="582">
        <v>0</v>
      </c>
      <c r="E172" s="582">
        <v>0</v>
      </c>
      <c r="F172" s="582">
        <v>0</v>
      </c>
      <c r="G172" s="583">
        <f>SUM(B172:F172)</f>
        <v>24</v>
      </c>
      <c r="H172" s="585"/>
      <c r="I172" s="583" t="s">
        <v>296</v>
      </c>
      <c r="J172" s="608"/>
      <c r="K172" s="568"/>
      <c r="L172" s="569"/>
    </row>
    <row r="173" spans="1:12" ht="39" customHeight="1" thickTop="1" thickBot="1">
      <c r="A173" s="613" t="s">
        <v>297</v>
      </c>
      <c r="B173" s="614">
        <v>0</v>
      </c>
      <c r="C173" s="614">
        <v>0</v>
      </c>
      <c r="D173" s="614">
        <v>0</v>
      </c>
      <c r="E173" s="614">
        <v>0</v>
      </c>
      <c r="F173" s="614">
        <v>28</v>
      </c>
      <c r="G173" s="614">
        <v>0</v>
      </c>
      <c r="H173" s="616"/>
      <c r="I173" s="615" t="s">
        <v>85</v>
      </c>
      <c r="J173" s="608" t="s">
        <v>298</v>
      </c>
      <c r="K173" s="46"/>
      <c r="L173" s="1"/>
    </row>
    <row r="174" spans="1:12" ht="21" customHeight="1" thickTop="1" thickBot="1">
      <c r="A174" s="600" t="s">
        <v>299</v>
      </c>
      <c r="B174" s="582">
        <v>13</v>
      </c>
      <c r="C174" s="582">
        <v>0</v>
      </c>
      <c r="D174" s="582">
        <v>0</v>
      </c>
      <c r="E174" s="582">
        <v>0</v>
      </c>
      <c r="F174" s="582">
        <v>0</v>
      </c>
      <c r="G174" s="582">
        <f t="shared" si="9"/>
        <v>13</v>
      </c>
      <c r="H174" s="583"/>
      <c r="I174" s="583" t="s">
        <v>86</v>
      </c>
      <c r="J174" s="609"/>
    </row>
    <row r="175" spans="1:12" ht="21" customHeight="1" thickTop="1">
      <c r="B175" s="592" t="s">
        <v>258</v>
      </c>
      <c r="C175" s="593" t="s">
        <v>259</v>
      </c>
      <c r="D175" s="594" t="s">
        <v>260</v>
      </c>
      <c r="E175" s="595" t="s">
        <v>261</v>
      </c>
      <c r="F175" s="596" t="s">
        <v>121</v>
      </c>
      <c r="G175" s="597" t="s">
        <v>262</v>
      </c>
      <c r="H175" s="598" t="s">
        <v>263</v>
      </c>
      <c r="I175" s="599"/>
    </row>
    <row r="176" spans="1:12" ht="21" customHeight="1">
      <c r="B176" s="418">
        <f t="shared" ref="B176:G176" si="10">SUM(B168:B174)</f>
        <v>159</v>
      </c>
      <c r="C176" s="418">
        <f t="shared" si="10"/>
        <v>5</v>
      </c>
      <c r="D176" s="418">
        <f t="shared" si="10"/>
        <v>0</v>
      </c>
      <c r="E176" s="418">
        <f t="shared" si="10"/>
        <v>0</v>
      </c>
      <c r="F176" s="418">
        <f t="shared" si="10"/>
        <v>28</v>
      </c>
      <c r="G176" s="418">
        <f t="shared" si="10"/>
        <v>164</v>
      </c>
      <c r="H176" s="418">
        <f>SUM(H169:H172)</f>
        <v>0</v>
      </c>
      <c r="I176" s="50"/>
    </row>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spans="1:12" ht="21" customHeight="1"/>
    <row r="194" spans="1:12" ht="21" customHeight="1" thickBot="1"/>
    <row r="195" spans="1:12" ht="16.5" thickTop="1" thickBot="1">
      <c r="A195" s="801" t="s">
        <v>300</v>
      </c>
      <c r="B195" s="801"/>
      <c r="C195" s="801"/>
      <c r="D195" s="801"/>
      <c r="E195" s="801"/>
      <c r="F195" s="801"/>
      <c r="G195" s="801"/>
      <c r="H195" s="801"/>
      <c r="I195" s="801"/>
      <c r="J195" s="801"/>
      <c r="K195" s="802"/>
      <c r="L195" s="802"/>
    </row>
    <row r="196" spans="1:12" ht="16.5" thickTop="1" thickBot="1">
      <c r="A196" s="724"/>
      <c r="B196" s="725" t="s">
        <v>258</v>
      </c>
      <c r="C196" s="726" t="s">
        <v>259</v>
      </c>
      <c r="D196" s="727" t="s">
        <v>260</v>
      </c>
      <c r="E196" s="724" t="s">
        <v>261</v>
      </c>
      <c r="F196" s="728" t="s">
        <v>121</v>
      </c>
      <c r="G196" s="724" t="s">
        <v>262</v>
      </c>
      <c r="H196" s="724" t="s">
        <v>263</v>
      </c>
      <c r="I196" s="724" t="s">
        <v>272</v>
      </c>
      <c r="J196" s="724" t="s">
        <v>65</v>
      </c>
      <c r="K196" s="729"/>
      <c r="L196" s="730"/>
    </row>
    <row r="197" spans="1:12" ht="16.5" thickTop="1" thickBot="1">
      <c r="A197" s="731" t="s">
        <v>288</v>
      </c>
      <c r="B197" s="732"/>
      <c r="C197" s="732"/>
      <c r="D197" s="732"/>
      <c r="E197" s="732">
        <v>27</v>
      </c>
      <c r="F197" s="732"/>
      <c r="G197" s="733">
        <f>SUM(B197:F197)</f>
        <v>27</v>
      </c>
      <c r="H197" s="734"/>
      <c r="I197" s="735" t="s">
        <v>92</v>
      </c>
      <c r="J197" s="736"/>
      <c r="K197" s="737"/>
      <c r="L197" s="747"/>
    </row>
    <row r="198" spans="1:12" ht="16.5" thickTop="1" thickBot="1">
      <c r="A198" s="731" t="s">
        <v>291</v>
      </c>
      <c r="B198" s="732"/>
      <c r="C198" s="732"/>
      <c r="D198" s="732"/>
      <c r="E198" s="732">
        <v>38</v>
      </c>
      <c r="F198" s="732"/>
      <c r="G198" s="733">
        <f>SUM(B198:F198)</f>
        <v>38</v>
      </c>
      <c r="H198" s="735"/>
      <c r="I198" s="735" t="s">
        <v>114</v>
      </c>
      <c r="J198" s="736"/>
      <c r="K198" s="738"/>
      <c r="L198" s="748"/>
    </row>
    <row r="199" spans="1:12" ht="16.5" thickTop="1" thickBot="1">
      <c r="A199" s="739" t="s">
        <v>292</v>
      </c>
      <c r="B199" s="732"/>
      <c r="C199" s="732"/>
      <c r="D199" s="732"/>
      <c r="E199" s="732">
        <v>50</v>
      </c>
      <c r="F199" s="732"/>
      <c r="G199" s="733">
        <f>SUM(B199:F199)</f>
        <v>50</v>
      </c>
      <c r="H199" s="735"/>
      <c r="I199" s="735" t="s">
        <v>114</v>
      </c>
      <c r="J199" s="736"/>
      <c r="K199" s="740"/>
      <c r="L199" s="747"/>
    </row>
    <row r="200" spans="1:12" ht="16.5" thickTop="1" thickBot="1">
      <c r="A200" s="741" t="s">
        <v>294</v>
      </c>
      <c r="B200" s="732"/>
      <c r="C200" s="732"/>
      <c r="D200" s="732"/>
      <c r="E200" s="732">
        <v>6</v>
      </c>
      <c r="F200" s="732"/>
      <c r="G200" s="733">
        <f>SUM(B200:F200)</f>
        <v>6</v>
      </c>
      <c r="H200" s="735"/>
      <c r="I200" s="735" t="s">
        <v>301</v>
      </c>
      <c r="J200" s="732"/>
      <c r="K200" s="740"/>
      <c r="L200" s="749"/>
    </row>
    <row r="201" spans="1:12" ht="16.5" thickTop="1" thickBot="1">
      <c r="A201" s="741" t="s">
        <v>295</v>
      </c>
      <c r="B201" s="732"/>
      <c r="C201" s="732"/>
      <c r="D201" s="732"/>
      <c r="E201" s="732">
        <v>26</v>
      </c>
      <c r="F201" s="732"/>
      <c r="G201" s="733">
        <v>26</v>
      </c>
      <c r="H201" s="735"/>
      <c r="I201" s="735" t="s">
        <v>92</v>
      </c>
      <c r="J201" s="736"/>
      <c r="K201" s="742"/>
      <c r="L201" s="749"/>
    </row>
    <row r="202" spans="1:12" ht="16.5" thickTop="1" thickBot="1">
      <c r="A202" s="741" t="s">
        <v>297</v>
      </c>
      <c r="B202" s="732"/>
      <c r="C202" s="732"/>
      <c r="D202" s="732"/>
      <c r="E202" s="732">
        <v>28</v>
      </c>
      <c r="F202" s="732"/>
      <c r="G202" s="733">
        <f>SUM(B202:F202)</f>
        <v>28</v>
      </c>
      <c r="H202" s="735"/>
      <c r="I202" s="735" t="s">
        <v>85</v>
      </c>
      <c r="J202" s="736"/>
      <c r="K202" s="737"/>
      <c r="L202" s="749"/>
    </row>
    <row r="203" spans="1:12" ht="30" customHeight="1" thickTop="1" thickBot="1">
      <c r="A203" s="757" t="s">
        <v>299</v>
      </c>
      <c r="B203" s="758"/>
      <c r="C203" s="758"/>
      <c r="D203" s="758"/>
      <c r="E203" s="758">
        <v>13</v>
      </c>
      <c r="F203" s="758"/>
      <c r="G203" s="759">
        <f>SUM(B203:F203)</f>
        <v>13</v>
      </c>
      <c r="H203" s="760"/>
      <c r="I203" s="760" t="s">
        <v>302</v>
      </c>
      <c r="J203" s="732"/>
      <c r="K203" s="743"/>
      <c r="L203" s="749"/>
    </row>
    <row r="204" spans="1:12" ht="16.5" thickTop="1" thickBot="1">
      <c r="A204" s="761" t="s">
        <v>303</v>
      </c>
      <c r="B204" s="762"/>
      <c r="C204" s="762"/>
      <c r="D204" s="762"/>
      <c r="E204" s="762">
        <v>9</v>
      </c>
      <c r="F204" s="762"/>
      <c r="G204" s="763">
        <f>SUM(B204:F204)</f>
        <v>9</v>
      </c>
      <c r="H204" s="764"/>
      <c r="I204" s="764" t="s">
        <v>85</v>
      </c>
      <c r="J204" s="765"/>
      <c r="K204" s="743"/>
      <c r="L204" s="766"/>
    </row>
    <row r="205" spans="1:12" ht="16.5" thickTop="1" thickBot="1">
      <c r="A205" s="716"/>
      <c r="B205" s="750" t="s">
        <v>258</v>
      </c>
      <c r="C205" s="751" t="s">
        <v>259</v>
      </c>
      <c r="D205" s="752" t="s">
        <v>260</v>
      </c>
      <c r="E205" s="753" t="s">
        <v>261</v>
      </c>
      <c r="F205" s="754" t="s">
        <v>121</v>
      </c>
      <c r="G205" s="753" t="s">
        <v>262</v>
      </c>
      <c r="H205" s="753" t="s">
        <v>263</v>
      </c>
      <c r="I205" s="744"/>
      <c r="J205" s="716"/>
      <c r="K205" s="745"/>
      <c r="L205" s="716"/>
    </row>
    <row r="206" spans="1:12" ht="16.5" thickTop="1" thickBot="1">
      <c r="A206" s="716"/>
      <c r="B206" s="755">
        <f t="shared" ref="B206:G206" si="11">SUM(B197:B204)</f>
        <v>0</v>
      </c>
      <c r="C206" s="755">
        <f t="shared" si="11"/>
        <v>0</v>
      </c>
      <c r="D206" s="755">
        <f t="shared" si="11"/>
        <v>0</v>
      </c>
      <c r="E206" s="755">
        <f t="shared" si="11"/>
        <v>197</v>
      </c>
      <c r="F206" s="755">
        <f t="shared" si="11"/>
        <v>0</v>
      </c>
      <c r="G206" s="755">
        <f t="shared" si="11"/>
        <v>197</v>
      </c>
      <c r="H206" s="755">
        <f>SUM(H198:H201)</f>
        <v>0</v>
      </c>
      <c r="I206" s="746"/>
      <c r="J206" s="716"/>
      <c r="K206" s="745"/>
      <c r="L206" s="716"/>
    </row>
    <row r="207" spans="1:12" ht="15.75" thickTop="1"/>
  </sheetData>
  <mergeCells count="2">
    <mergeCell ref="A166:L166"/>
    <mergeCell ref="A195:L195"/>
  </mergeCells>
  <hyperlinks>
    <hyperlink ref="A4" r:id="rId1" xr:uid="{FFC3849E-9F18-4FF6-81DE-E8119B9D5F4A}"/>
    <hyperlink ref="A6" r:id="rId2" xr:uid="{029A6EF6-2BC5-4ACB-826F-B9CAFC7E2061}"/>
    <hyperlink ref="A7" r:id="rId3" xr:uid="{F72841F3-285B-41AD-8275-08D291F18484}"/>
    <hyperlink ref="A8" r:id="rId4" xr:uid="{ED40C356-C400-48D5-9F21-3454BDC95172}"/>
    <hyperlink ref="A9" r:id="rId5" xr:uid="{D4EC3B17-4989-46CA-9453-4B7FE118E6ED}"/>
    <hyperlink ref="A39" r:id="rId6" xr:uid="{62577FA6-F8F9-4909-B32E-910CBB6F2CF7}"/>
    <hyperlink ref="A40" r:id="rId7" xr:uid="{08212043-D531-4163-8343-4A75205F0D96}"/>
    <hyperlink ref="A41" r:id="rId8" xr:uid="{DB40C75E-4FCC-45EC-81E1-339A4725FD37}"/>
    <hyperlink ref="A5" r:id="rId9" xr:uid="{BA33773A-4F0C-41F2-B937-153CA8AB8E88}"/>
    <hyperlink ref="A96" r:id="rId10" display="https://dev.azure.com/accenturecio24/CategoryToContract_PR1085/_workitems/edit/1069754" xr:uid="{DBF0BEA7-CCCE-421E-9F30-08D6263AE175}"/>
    <hyperlink ref="A97" r:id="rId11" display="https://dev.azure.com/accenturecio24/CategoryToContract_PR1085/_workitems/edit/1089866" xr:uid="{0D5A66A4-15D8-4701-A14F-09CF3CD9925A}"/>
    <hyperlink ref="A98" r:id="rId12" display="https://dev.azure.com/accenturecio24/CategoryToContract_PR1085/_workitems/edit/1097492" xr:uid="{4B0F4C86-C13F-425E-9814-2F31C654C4C0}"/>
    <hyperlink ref="A103" r:id="rId13" display="https://dev.azure.com/accenturecio24/CategoryToContract_PR1085/_workitems/edit/1093873" xr:uid="{90AF7D3C-FFB7-4ECE-851D-04C79A63CA69}"/>
    <hyperlink ref="A99" r:id="rId14" display="https://dev.azure.com/accenturecio24/CategoryToContract_PR1085/_workitems/edit/1093921" xr:uid="{6916B339-9663-45A9-867A-15AF7E5B9284}"/>
    <hyperlink ref="A100" r:id="rId15" display="https://dev.azure.com/accenturecio24/CategoryToContract_PR1085/_workitems/edit/1093963" xr:uid="{39639BD3-7DA6-4C2B-BDBF-5BC057DD99F4}"/>
    <hyperlink ref="A104" r:id="rId16" display="https://dev.azure.com/accenturecio24/CategoryToContract_PR1085/_workitems/edit/1099787" xr:uid="{95DF316D-350C-4F81-8C88-B0934E6A11AD}"/>
    <hyperlink ref="A105" r:id="rId17" display="https://dev.azure.com/accenturecio24/CategoryToContract_PR1085/_workitems/edit/1099816" xr:uid="{E2FEECCD-1E88-4139-88CB-ACFC4F96457E}"/>
    <hyperlink ref="A101" r:id="rId18" display="https://dev.azure.com/accenturecio24/CategoryToContract_PR1085/_workitems/edit/1101229" xr:uid="{0AB1707D-BD54-41B4-9E77-DB85A4D41D63}"/>
    <hyperlink ref="A102" r:id="rId19" display="https://dev.azure.com/accenturecio24/CategoryToContract_PR1085/_workitems/edit/1088601" xr:uid="{D321107D-277A-48AA-BC4B-7C4E38DE2E38}"/>
    <hyperlink ref="A106" r:id="rId20" display="https://dev.azure.com/accenturecio24/CategoryToContract_PR1085/_workitems/edit/1099787" xr:uid="{0CA02D2C-1661-446F-87E2-EE21A04F6BB3}"/>
    <hyperlink ref="A107" r:id="rId21" display="https://dev.azure.com/accenturecio24/CategoryToContract_PR1085/_workitems/edit/1131306" xr:uid="{9B773B73-F408-4F79-94A7-7E8E08AED7FC}"/>
  </hyperlinks>
  <pageMargins left="0.7" right="0.7" top="0.75" bottom="0.75" header="0.3" footer="0.3"/>
  <pageSetup orientation="portrait" r:id="rId22"/>
  <headerFooter>
    <oddHeader>&amp;C&amp;"Calibri"&amp;11&amp;K000000***Confidential***&amp;1#</oddHeader>
  </headerFooter>
  <drawing r:id="rId2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14D5-E6AA-468C-BE3F-A78FB4AF926C}">
  <dimension ref="A1:K21"/>
  <sheetViews>
    <sheetView zoomScale="85" zoomScaleNormal="85" workbookViewId="0">
      <selection activeCell="K4" sqref="K4"/>
    </sheetView>
  </sheetViews>
  <sheetFormatPr defaultRowHeight="15"/>
  <cols>
    <col min="1" max="1" width="16" customWidth="1"/>
    <col min="2" max="2" width="17.7109375" customWidth="1"/>
    <col min="3" max="3" width="8.7109375" customWidth="1"/>
    <col min="4" max="4" width="53.42578125" customWidth="1"/>
    <col min="5" max="5" width="16.7109375" customWidth="1"/>
    <col min="6" max="6" width="16.85546875" customWidth="1"/>
    <col min="7" max="7" width="17.42578125" customWidth="1"/>
    <col min="8" max="8" width="16.42578125" customWidth="1"/>
    <col min="9" max="9" width="18.42578125" customWidth="1"/>
    <col min="10" max="10" width="16.5703125" customWidth="1"/>
    <col min="11" max="11" width="68.5703125" customWidth="1"/>
  </cols>
  <sheetData>
    <row r="1" spans="1:11" ht="37.5" customHeight="1" thickTop="1" thickBot="1">
      <c r="A1" s="803" t="s">
        <v>304</v>
      </c>
      <c r="B1" s="803"/>
      <c r="C1" s="803"/>
      <c r="D1" s="803"/>
      <c r="E1" s="803"/>
      <c r="F1" s="803"/>
      <c r="G1" s="803"/>
      <c r="H1" s="803"/>
      <c r="I1" s="803"/>
      <c r="J1" s="803"/>
      <c r="K1" s="803"/>
    </row>
    <row r="2" spans="1:11" ht="36" customHeight="1">
      <c r="A2" s="588" t="s">
        <v>305</v>
      </c>
      <c r="B2" s="589" t="s">
        <v>306</v>
      </c>
      <c r="C2" s="589" t="s">
        <v>307</v>
      </c>
      <c r="D2" s="589" t="s">
        <v>308</v>
      </c>
      <c r="E2" s="589" t="s">
        <v>105</v>
      </c>
      <c r="F2" s="589" t="s">
        <v>309</v>
      </c>
      <c r="G2" s="589" t="s">
        <v>310</v>
      </c>
      <c r="H2" s="589" t="s">
        <v>311</v>
      </c>
      <c r="I2" s="589" t="s">
        <v>312</v>
      </c>
      <c r="J2" s="589" t="s">
        <v>313</v>
      </c>
      <c r="K2" s="589" t="s">
        <v>65</v>
      </c>
    </row>
    <row r="3" spans="1:11" ht="36" customHeight="1">
      <c r="A3" s="533" t="s">
        <v>115</v>
      </c>
      <c r="B3" s="591">
        <v>1131593</v>
      </c>
      <c r="C3" s="534">
        <v>20</v>
      </c>
      <c r="D3" s="591" t="s">
        <v>314</v>
      </c>
      <c r="E3" s="709" t="s">
        <v>315</v>
      </c>
      <c r="F3" s="620" t="s">
        <v>316</v>
      </c>
      <c r="G3" s="620" t="s">
        <v>317</v>
      </c>
      <c r="H3" s="620" t="s">
        <v>318</v>
      </c>
      <c r="I3" s="620" t="s">
        <v>319</v>
      </c>
      <c r="J3" s="710">
        <v>46174</v>
      </c>
      <c r="K3" s="591"/>
    </row>
    <row r="4" spans="1:11" ht="36" customHeight="1">
      <c r="A4" s="533" t="s">
        <v>115</v>
      </c>
      <c r="B4" s="591">
        <v>1131694</v>
      </c>
      <c r="C4" s="534">
        <v>20</v>
      </c>
      <c r="D4" s="591" t="s">
        <v>320</v>
      </c>
      <c r="E4" s="711" t="s">
        <v>321</v>
      </c>
      <c r="F4" s="620" t="s">
        <v>316</v>
      </c>
      <c r="G4" s="620" t="s">
        <v>317</v>
      </c>
      <c r="H4" s="620" t="s">
        <v>318</v>
      </c>
      <c r="I4" s="620" t="s">
        <v>319</v>
      </c>
      <c r="J4" s="710">
        <v>46174</v>
      </c>
      <c r="K4" s="591" t="s">
        <v>322</v>
      </c>
    </row>
    <row r="5" spans="1:11" ht="36" customHeight="1">
      <c r="A5" s="533" t="s">
        <v>115</v>
      </c>
      <c r="B5" s="712">
        <v>1108153</v>
      </c>
      <c r="C5" s="621">
        <v>18</v>
      </c>
      <c r="D5" s="620" t="s">
        <v>323</v>
      </c>
      <c r="E5" s="709" t="s">
        <v>315</v>
      </c>
      <c r="F5" s="620" t="s">
        <v>316</v>
      </c>
      <c r="G5" s="620" t="s">
        <v>317</v>
      </c>
      <c r="H5" s="620" t="s">
        <v>318</v>
      </c>
      <c r="I5" s="620" t="s">
        <v>319</v>
      </c>
      <c r="J5" s="620" t="s">
        <v>324</v>
      </c>
      <c r="K5" s="621"/>
    </row>
    <row r="6" spans="1:11" ht="36" customHeight="1">
      <c r="A6" s="533" t="s">
        <v>115</v>
      </c>
      <c r="B6" s="591">
        <v>1131503</v>
      </c>
      <c r="C6" s="534">
        <v>20</v>
      </c>
      <c r="D6" s="591" t="s">
        <v>325</v>
      </c>
      <c r="E6" s="709" t="s">
        <v>315</v>
      </c>
      <c r="F6" s="620" t="s">
        <v>316</v>
      </c>
      <c r="G6" s="620" t="s">
        <v>317</v>
      </c>
      <c r="H6" s="620" t="s">
        <v>318</v>
      </c>
      <c r="I6" s="620" t="s">
        <v>319</v>
      </c>
      <c r="J6" s="710">
        <v>46174</v>
      </c>
      <c r="K6" s="591"/>
    </row>
    <row r="7" spans="1:11" ht="35.25" customHeight="1">
      <c r="A7" s="533" t="s">
        <v>115</v>
      </c>
      <c r="B7" s="591">
        <v>1129174</v>
      </c>
      <c r="C7" s="534">
        <v>19</v>
      </c>
      <c r="D7" s="591" t="s">
        <v>326</v>
      </c>
      <c r="E7" s="709" t="s">
        <v>315</v>
      </c>
      <c r="F7" s="620" t="s">
        <v>316</v>
      </c>
      <c r="G7" s="620" t="s">
        <v>317</v>
      </c>
      <c r="H7" s="620" t="s">
        <v>318</v>
      </c>
      <c r="I7" s="620" t="s">
        <v>319</v>
      </c>
      <c r="J7" s="620" t="s">
        <v>327</v>
      </c>
      <c r="K7" s="591"/>
    </row>
    <row r="8" spans="1:11" ht="36" customHeight="1">
      <c r="A8" s="533" t="s">
        <v>115</v>
      </c>
      <c r="B8" s="591">
        <v>1128512</v>
      </c>
      <c r="C8" s="534">
        <v>19</v>
      </c>
      <c r="D8" s="591" t="s">
        <v>328</v>
      </c>
      <c r="E8" s="709" t="s">
        <v>315</v>
      </c>
      <c r="F8" s="620" t="s">
        <v>316</v>
      </c>
      <c r="G8" s="620" t="s">
        <v>317</v>
      </c>
      <c r="H8" s="620" t="s">
        <v>318</v>
      </c>
      <c r="I8" s="620" t="s">
        <v>319</v>
      </c>
      <c r="J8" s="620" t="s">
        <v>329</v>
      </c>
      <c r="K8" s="591"/>
    </row>
    <row r="9" spans="1:11" ht="25.5">
      <c r="A9" s="533" t="s">
        <v>115</v>
      </c>
      <c r="B9" s="713">
        <v>1119900</v>
      </c>
      <c r="C9" s="534">
        <v>19</v>
      </c>
      <c r="D9" s="534" t="s">
        <v>330</v>
      </c>
      <c r="E9" s="709" t="s">
        <v>315</v>
      </c>
      <c r="F9" s="620" t="s">
        <v>316</v>
      </c>
      <c r="G9" s="620" t="s">
        <v>317</v>
      </c>
      <c r="H9" s="620" t="s">
        <v>318</v>
      </c>
      <c r="I9" s="620" t="s">
        <v>319</v>
      </c>
      <c r="J9" s="620" t="s">
        <v>331</v>
      </c>
      <c r="K9" s="620"/>
    </row>
    <row r="10" spans="1:11" ht="25.5">
      <c r="A10" s="533" t="s">
        <v>139</v>
      </c>
      <c r="B10" s="535">
        <v>1117652</v>
      </c>
      <c r="C10" s="534">
        <v>19</v>
      </c>
      <c r="D10" s="534" t="s">
        <v>332</v>
      </c>
      <c r="E10" s="709" t="s">
        <v>315</v>
      </c>
      <c r="F10" s="620" t="s">
        <v>316</v>
      </c>
      <c r="G10" s="620" t="s">
        <v>317</v>
      </c>
      <c r="H10" s="620" t="s">
        <v>318</v>
      </c>
      <c r="I10" s="620" t="s">
        <v>319</v>
      </c>
      <c r="J10" s="620" t="s">
        <v>333</v>
      </c>
      <c r="K10" s="620"/>
    </row>
    <row r="11" spans="1:11" ht="25.5">
      <c r="A11" s="533" t="s">
        <v>115</v>
      </c>
      <c r="B11" s="534">
        <v>1118820</v>
      </c>
      <c r="C11" s="534">
        <v>18</v>
      </c>
      <c r="D11" s="534" t="s">
        <v>334</v>
      </c>
      <c r="E11" s="709" t="s">
        <v>315</v>
      </c>
      <c r="F11" s="620" t="s">
        <v>316</v>
      </c>
      <c r="G11" s="620" t="s">
        <v>317</v>
      </c>
      <c r="H11" s="620" t="s">
        <v>318</v>
      </c>
      <c r="I11" s="620" t="s">
        <v>319</v>
      </c>
      <c r="J11" s="620" t="s">
        <v>331</v>
      </c>
      <c r="K11" s="542"/>
    </row>
    <row r="12" spans="1:11" ht="49.5" customHeight="1" thickTop="1" thickBot="1">
      <c r="A12" s="533" t="s">
        <v>115</v>
      </c>
      <c r="B12" s="534">
        <v>1110287</v>
      </c>
      <c r="C12" s="621">
        <v>18</v>
      </c>
      <c r="D12" s="620" t="s">
        <v>335</v>
      </c>
      <c r="E12" s="709" t="s">
        <v>315</v>
      </c>
      <c r="F12" s="620" t="s">
        <v>316</v>
      </c>
      <c r="G12" s="620" t="s">
        <v>317</v>
      </c>
      <c r="H12" s="620" t="s">
        <v>318</v>
      </c>
      <c r="I12" s="620" t="s">
        <v>319</v>
      </c>
      <c r="J12" s="620" t="s">
        <v>324</v>
      </c>
      <c r="K12" s="621" t="s">
        <v>336</v>
      </c>
    </row>
    <row r="13" spans="1:11" ht="24.75" customHeight="1" thickTop="1" thickBot="1">
      <c r="A13" s="536" t="s">
        <v>115</v>
      </c>
      <c r="B13" s="712">
        <v>1100995</v>
      </c>
      <c r="C13" s="621">
        <v>18</v>
      </c>
      <c r="D13" s="621" t="s">
        <v>337</v>
      </c>
      <c r="E13" s="709" t="s">
        <v>315</v>
      </c>
      <c r="F13" s="621" t="s">
        <v>316</v>
      </c>
      <c r="G13" s="621" t="s">
        <v>317</v>
      </c>
      <c r="H13" s="621" t="s">
        <v>318</v>
      </c>
      <c r="I13" s="621" t="s">
        <v>319</v>
      </c>
      <c r="J13" s="621" t="s">
        <v>338</v>
      </c>
      <c r="K13" s="621" t="s">
        <v>336</v>
      </c>
    </row>
    <row r="14" spans="1:11" ht="24.75" customHeight="1" thickTop="1" thickBot="1"/>
    <row r="15" spans="1:11" ht="38.25" customHeight="1" thickTop="1" thickBot="1">
      <c r="A15" s="804" t="s">
        <v>339</v>
      </c>
      <c r="B15" s="804"/>
      <c r="C15" s="804"/>
      <c r="D15" s="804"/>
      <c r="E15" s="804"/>
      <c r="F15" s="804"/>
      <c r="G15" s="804"/>
      <c r="H15" s="804"/>
      <c r="I15" s="804"/>
      <c r="J15" s="804"/>
      <c r="K15" s="804"/>
    </row>
    <row r="16" spans="1:11" ht="16.5" thickTop="1" thickBot="1">
      <c r="A16" s="537" t="s">
        <v>305</v>
      </c>
      <c r="B16" s="538" t="s">
        <v>306</v>
      </c>
      <c r="C16" s="538" t="s">
        <v>307</v>
      </c>
      <c r="D16" s="538" t="s">
        <v>308</v>
      </c>
      <c r="E16" s="538" t="s">
        <v>105</v>
      </c>
      <c r="F16" s="538" t="s">
        <v>309</v>
      </c>
      <c r="G16" s="538" t="s">
        <v>310</v>
      </c>
      <c r="H16" s="538" t="s">
        <v>311</v>
      </c>
      <c r="I16" s="538" t="s">
        <v>312</v>
      </c>
      <c r="J16" s="538" t="s">
        <v>313</v>
      </c>
      <c r="K16" s="538" t="s">
        <v>65</v>
      </c>
    </row>
    <row r="17" spans="1:11" ht="43.5" customHeight="1">
      <c r="A17" s="714" t="s">
        <v>115</v>
      </c>
      <c r="B17" s="591">
        <v>1129749</v>
      </c>
      <c r="C17" s="591">
        <v>19</v>
      </c>
      <c r="D17" s="591" t="s">
        <v>340</v>
      </c>
      <c r="E17" s="709" t="s">
        <v>315</v>
      </c>
      <c r="F17" s="621" t="s">
        <v>316</v>
      </c>
      <c r="G17" s="591" t="s">
        <v>341</v>
      </c>
      <c r="H17" s="620" t="s">
        <v>318</v>
      </c>
      <c r="I17" s="620" t="s">
        <v>342</v>
      </c>
      <c r="J17" s="621" t="s">
        <v>343</v>
      </c>
      <c r="K17" s="591" t="s">
        <v>344</v>
      </c>
    </row>
    <row r="18" spans="1:11" ht="33" customHeight="1" thickTop="1" thickBot="1">
      <c r="A18" s="714" t="s">
        <v>115</v>
      </c>
      <c r="B18" s="591">
        <v>1129099</v>
      </c>
      <c r="C18" s="591">
        <v>19</v>
      </c>
      <c r="D18" s="591" t="s">
        <v>345</v>
      </c>
      <c r="E18" s="709" t="s">
        <v>315</v>
      </c>
      <c r="F18" s="621" t="s">
        <v>316</v>
      </c>
      <c r="G18" s="591" t="s">
        <v>346</v>
      </c>
      <c r="H18" s="620" t="s">
        <v>318</v>
      </c>
      <c r="I18" s="620" t="s">
        <v>319</v>
      </c>
      <c r="J18" s="621" t="s">
        <v>347</v>
      </c>
      <c r="K18" s="591"/>
    </row>
    <row r="19" spans="1:11" ht="31.5" customHeight="1" thickTop="1" thickBot="1">
      <c r="A19" s="714" t="s">
        <v>115</v>
      </c>
      <c r="B19" s="591">
        <v>1128869</v>
      </c>
      <c r="C19" s="591">
        <v>19</v>
      </c>
      <c r="D19" s="591" t="s">
        <v>348</v>
      </c>
      <c r="E19" s="715" t="s">
        <v>349</v>
      </c>
      <c r="F19" s="621" t="s">
        <v>316</v>
      </c>
      <c r="G19" s="591" t="s">
        <v>346</v>
      </c>
      <c r="H19" s="620" t="s">
        <v>318</v>
      </c>
      <c r="I19" s="620" t="s">
        <v>319</v>
      </c>
      <c r="J19" s="621" t="s">
        <v>347</v>
      </c>
      <c r="K19" s="591"/>
    </row>
    <row r="20" spans="1:11" ht="27" thickTop="1" thickBot="1">
      <c r="A20" s="714" t="s">
        <v>115</v>
      </c>
      <c r="B20" s="591">
        <v>1129200</v>
      </c>
      <c r="C20" s="591">
        <v>19</v>
      </c>
      <c r="D20" s="591" t="s">
        <v>350</v>
      </c>
      <c r="E20" s="715" t="s">
        <v>349</v>
      </c>
      <c r="F20" s="621" t="s">
        <v>316</v>
      </c>
      <c r="G20" s="591" t="s">
        <v>346</v>
      </c>
      <c r="H20" s="620" t="s">
        <v>318</v>
      </c>
      <c r="I20" s="620" t="s">
        <v>319</v>
      </c>
      <c r="J20" s="621" t="s">
        <v>347</v>
      </c>
      <c r="K20" s="591"/>
    </row>
    <row r="21" spans="1:11" ht="15.75" thickTop="1"/>
  </sheetData>
  <mergeCells count="2">
    <mergeCell ref="A1:K1"/>
    <mergeCell ref="A15:K15"/>
  </mergeCells>
  <phoneticPr fontId="9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887FB-57EA-49F3-BE9E-44830D3903C9}">
  <sheetPr codeName="Sheet5">
    <tabColor rgb="FF002060"/>
  </sheetPr>
  <dimension ref="A1:G11"/>
  <sheetViews>
    <sheetView showGridLines="0" tabSelected="1" zoomScale="85" zoomScaleNormal="85" workbookViewId="0">
      <pane xSplit="1" ySplit="1" topLeftCell="B2" activePane="bottomRight" state="frozen"/>
      <selection pane="bottomRight" activeCell="T8" sqref="T8"/>
      <selection pane="bottomLeft" activeCell="A2" sqref="A2"/>
      <selection pane="topRight" activeCell="B1" sqref="B1"/>
    </sheetView>
  </sheetViews>
  <sheetFormatPr defaultRowHeight="15" customHeight="1"/>
  <cols>
    <col min="1" max="1" width="43.42578125" customWidth="1"/>
    <col min="2" max="2" width="11.28515625" customWidth="1"/>
    <col min="3" max="3" width="12" customWidth="1"/>
    <col min="4" max="4" width="10" customWidth="1"/>
    <col min="5" max="5" width="11" customWidth="1"/>
    <col min="6" max="6" width="11.28515625" customWidth="1"/>
    <col min="7" max="7" width="14.28515625" customWidth="1"/>
  </cols>
  <sheetData>
    <row r="1" spans="1:7" ht="39.75" customHeight="1">
      <c r="A1" s="646" t="s">
        <v>351</v>
      </c>
      <c r="B1" s="647" t="s">
        <v>258</v>
      </c>
      <c r="C1" s="648" t="s">
        <v>259</v>
      </c>
      <c r="D1" s="649" t="s">
        <v>260</v>
      </c>
      <c r="E1" s="650" t="s">
        <v>261</v>
      </c>
      <c r="F1" s="651" t="s">
        <v>121</v>
      </c>
      <c r="G1" s="652" t="s">
        <v>262</v>
      </c>
    </row>
    <row r="2" spans="1:7" ht="27.75" customHeight="1">
      <c r="A2" s="633" t="s">
        <v>352</v>
      </c>
      <c r="B2" s="640">
        <v>1</v>
      </c>
      <c r="C2" s="640">
        <v>0</v>
      </c>
      <c r="D2" s="640">
        <v>9</v>
      </c>
      <c r="E2" s="640">
        <v>6</v>
      </c>
      <c r="F2" s="640">
        <v>0</v>
      </c>
      <c r="G2" s="640">
        <f t="shared" ref="G2:G8" si="0">SUM(B2:F2)</f>
        <v>16</v>
      </c>
    </row>
    <row r="3" spans="1:7" ht="22.5" customHeight="1">
      <c r="A3" s="634" t="s">
        <v>353</v>
      </c>
      <c r="B3" s="643">
        <v>0</v>
      </c>
      <c r="C3" s="643">
        <v>0</v>
      </c>
      <c r="D3" s="643">
        <v>3</v>
      </c>
      <c r="E3" s="643">
        <v>0</v>
      </c>
      <c r="F3" s="643">
        <v>0</v>
      </c>
      <c r="G3" s="643">
        <f t="shared" si="0"/>
        <v>3</v>
      </c>
    </row>
    <row r="4" spans="1:7" ht="30.75" customHeight="1">
      <c r="A4" s="635" t="s">
        <v>354</v>
      </c>
      <c r="B4" s="644">
        <v>2</v>
      </c>
      <c r="C4" s="644">
        <v>0</v>
      </c>
      <c r="D4" s="644">
        <v>1</v>
      </c>
      <c r="E4" s="644">
        <v>0</v>
      </c>
      <c r="F4" s="644">
        <v>0</v>
      </c>
      <c r="G4" s="644">
        <f t="shared" si="0"/>
        <v>3</v>
      </c>
    </row>
    <row r="5" spans="1:7" ht="29.25" customHeight="1">
      <c r="A5" s="636" t="s">
        <v>355</v>
      </c>
      <c r="B5" s="645">
        <v>2</v>
      </c>
      <c r="C5" s="645">
        <v>0</v>
      </c>
      <c r="D5" s="645">
        <v>0</v>
      </c>
      <c r="E5" s="645">
        <v>1</v>
      </c>
      <c r="F5" s="645">
        <v>2</v>
      </c>
      <c r="G5" s="645">
        <f t="shared" si="0"/>
        <v>5</v>
      </c>
    </row>
    <row r="6" spans="1:7" ht="39" customHeight="1">
      <c r="A6" s="637" t="s">
        <v>356</v>
      </c>
      <c r="B6" s="641">
        <v>0</v>
      </c>
      <c r="C6" s="641">
        <v>0</v>
      </c>
      <c r="D6" s="641">
        <v>0</v>
      </c>
      <c r="E6" s="641">
        <v>1</v>
      </c>
      <c r="F6" s="641">
        <v>1</v>
      </c>
      <c r="G6" s="641">
        <f t="shared" si="0"/>
        <v>2</v>
      </c>
    </row>
    <row r="7" spans="1:7" ht="30" customHeight="1" thickTop="1" thickBot="1">
      <c r="A7" s="638" t="s">
        <v>357</v>
      </c>
      <c r="B7" s="642">
        <v>0</v>
      </c>
      <c r="C7" s="642">
        <v>0</v>
      </c>
      <c r="D7" s="642">
        <v>0</v>
      </c>
      <c r="E7" s="642">
        <v>2</v>
      </c>
      <c r="F7" s="642">
        <v>0</v>
      </c>
      <c r="G7" s="642">
        <f t="shared" si="0"/>
        <v>2</v>
      </c>
    </row>
    <row r="8" spans="1:7" ht="35.25" customHeight="1" thickTop="1" thickBot="1">
      <c r="A8" s="639" t="s">
        <v>358</v>
      </c>
      <c r="B8" s="653">
        <v>1</v>
      </c>
      <c r="C8" s="653">
        <v>0</v>
      </c>
      <c r="D8" s="653">
        <v>2</v>
      </c>
      <c r="E8" s="653">
        <v>3</v>
      </c>
      <c r="F8" s="653">
        <v>0</v>
      </c>
      <c r="G8" s="653">
        <f t="shared" si="0"/>
        <v>6</v>
      </c>
    </row>
    <row r="9" spans="1:7" ht="36.75" customHeight="1" thickTop="1" thickBot="1">
      <c r="B9" s="654" t="s">
        <v>258</v>
      </c>
      <c r="C9" s="655" t="s">
        <v>259</v>
      </c>
      <c r="D9" s="656" t="s">
        <v>260</v>
      </c>
      <c r="E9" s="657" t="s">
        <v>261</v>
      </c>
      <c r="F9" s="658" t="s">
        <v>121</v>
      </c>
      <c r="G9" s="659" t="s">
        <v>262</v>
      </c>
    </row>
    <row r="10" spans="1:7" ht="15" customHeight="1" thickTop="1" thickBot="1">
      <c r="B10" s="660">
        <f t="shared" ref="B10:G10" si="1">SUM(B2:B8)</f>
        <v>6</v>
      </c>
      <c r="C10" s="660">
        <f t="shared" si="1"/>
        <v>0</v>
      </c>
      <c r="D10" s="660">
        <f t="shared" si="1"/>
        <v>15</v>
      </c>
      <c r="E10" s="660">
        <f t="shared" si="1"/>
        <v>13</v>
      </c>
      <c r="F10" s="660">
        <f t="shared" si="1"/>
        <v>3</v>
      </c>
      <c r="G10" s="660">
        <f t="shared" si="1"/>
        <v>37</v>
      </c>
    </row>
    <row r="11" spans="1:7" ht="15" customHeight="1" thickTop="1"/>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6F20-3EFA-457B-BA40-BC0680686EAA}">
  <sheetPr codeName="Sheet10">
    <tabColor rgb="FF002060"/>
  </sheetPr>
  <dimension ref="A1:X71"/>
  <sheetViews>
    <sheetView showGridLines="0" topLeftCell="B1" zoomScaleNormal="100" workbookViewId="0">
      <pane ySplit="4" topLeftCell="A5" activePane="bottomLeft" state="frozen"/>
      <selection pane="bottomLeft" activeCell="R12" sqref="R12"/>
      <selection activeCell="C44" sqref="C44"/>
    </sheetView>
  </sheetViews>
  <sheetFormatPr defaultRowHeight="15"/>
  <cols>
    <col min="1" max="1" width="31" customWidth="1"/>
    <col min="2" max="2" width="25.5703125" customWidth="1"/>
    <col min="3" max="3" width="34.5703125" customWidth="1"/>
    <col min="4" max="4" width="20" hidden="1" customWidth="1"/>
    <col min="5" max="6" width="15.85546875" hidden="1" customWidth="1"/>
    <col min="7" max="8" width="9.140625" hidden="1" customWidth="1"/>
    <col min="9" max="9" width="16.42578125" style="31" hidden="1" customWidth="1"/>
    <col min="10" max="10" width="14" style="31" customWidth="1"/>
    <col min="11" max="12" width="17.140625" hidden="1" customWidth="1"/>
    <col min="13" max="13" width="38.85546875" hidden="1" customWidth="1"/>
    <col min="14" max="14" width="18.5703125" hidden="1" customWidth="1"/>
    <col min="15" max="15" width="32.7109375" customWidth="1"/>
    <col min="16" max="16" width="11.28515625" customWidth="1"/>
    <col min="17" max="17" width="18.42578125" customWidth="1"/>
    <col min="18" max="18" width="17.42578125" customWidth="1"/>
    <col min="19" max="19" width="14.85546875" customWidth="1"/>
    <col min="20" max="20" width="14.28515625" customWidth="1"/>
    <col min="21" max="21" width="15" customWidth="1"/>
    <col min="22" max="22" width="15.28515625" customWidth="1"/>
    <col min="23" max="23" width="14" customWidth="1"/>
    <col min="24" max="24" width="12.85546875" customWidth="1"/>
  </cols>
  <sheetData>
    <row r="1" spans="1:24" ht="23.25" customHeight="1" thickTop="1" thickBot="1">
      <c r="A1" s="813" t="s">
        <v>359</v>
      </c>
      <c r="B1" s="813"/>
      <c r="C1" s="813"/>
      <c r="D1" s="813"/>
      <c r="E1" s="813"/>
      <c r="F1" s="813"/>
      <c r="G1" s="813"/>
      <c r="H1" s="813"/>
      <c r="I1" s="813"/>
    </row>
    <row r="2" spans="1:24" ht="39.75" thickTop="1" thickBot="1">
      <c r="A2" s="776" t="s">
        <v>360</v>
      </c>
      <c r="B2" s="776" t="s">
        <v>361</v>
      </c>
      <c r="C2" s="776" t="s">
        <v>362</v>
      </c>
      <c r="D2" s="776" t="s">
        <v>363</v>
      </c>
      <c r="E2" s="776" t="s">
        <v>364</v>
      </c>
      <c r="F2" s="776" t="s">
        <v>365</v>
      </c>
      <c r="G2" s="776" t="s">
        <v>366</v>
      </c>
      <c r="H2" s="776" t="s">
        <v>367</v>
      </c>
      <c r="I2" s="776" t="s">
        <v>368</v>
      </c>
      <c r="J2" s="218"/>
      <c r="O2" s="805" t="s">
        <v>369</v>
      </c>
      <c r="P2" s="805" t="s">
        <v>370</v>
      </c>
      <c r="Q2" s="805" t="s">
        <v>371</v>
      </c>
      <c r="R2" s="805" t="s">
        <v>372</v>
      </c>
      <c r="S2" s="805" t="s">
        <v>373</v>
      </c>
      <c r="T2" s="805" t="s">
        <v>374</v>
      </c>
      <c r="U2" s="805" t="s">
        <v>375</v>
      </c>
      <c r="V2" s="805" t="s">
        <v>376</v>
      </c>
      <c r="W2" s="805" t="s">
        <v>377</v>
      </c>
      <c r="X2" s="805" t="s">
        <v>378</v>
      </c>
    </row>
    <row r="3" spans="1:24" ht="16.5" thickTop="1" thickBot="1">
      <c r="A3" s="809" t="s">
        <v>379</v>
      </c>
      <c r="B3" s="775" t="s">
        <v>380</v>
      </c>
      <c r="C3" s="772" t="s">
        <v>381</v>
      </c>
      <c r="D3" s="778">
        <v>9155584623</v>
      </c>
      <c r="E3" s="779"/>
      <c r="F3" s="778" t="s">
        <v>382</v>
      </c>
      <c r="G3" s="779" t="s">
        <v>383</v>
      </c>
      <c r="H3" s="779"/>
      <c r="I3" s="779" t="s">
        <v>384</v>
      </c>
      <c r="J3"/>
      <c r="O3" s="806"/>
      <c r="P3" s="806"/>
      <c r="Q3" s="806"/>
      <c r="R3" s="806"/>
      <c r="S3" s="806"/>
      <c r="T3" s="806"/>
      <c r="U3" s="806"/>
      <c r="V3" s="806"/>
      <c r="W3" s="806"/>
      <c r="X3" s="806"/>
    </row>
    <row r="4" spans="1:24" ht="39.75" thickTop="1" thickBot="1">
      <c r="A4" s="809"/>
      <c r="B4" s="780" t="s">
        <v>385</v>
      </c>
      <c r="C4" s="772" t="s">
        <v>386</v>
      </c>
      <c r="D4" s="778"/>
      <c r="E4" s="779" t="s">
        <v>383</v>
      </c>
      <c r="F4" s="778" t="s">
        <v>382</v>
      </c>
      <c r="G4" s="779" t="s">
        <v>383</v>
      </c>
      <c r="H4" s="779" t="s">
        <v>383</v>
      </c>
      <c r="I4" s="779" t="s">
        <v>384</v>
      </c>
      <c r="J4"/>
      <c r="O4" s="767" t="s">
        <v>387</v>
      </c>
      <c r="P4" s="768" t="s">
        <v>388</v>
      </c>
      <c r="Q4" s="769" t="s">
        <v>389</v>
      </c>
      <c r="R4" s="769" t="s">
        <v>390</v>
      </c>
      <c r="S4" s="770" t="s">
        <v>391</v>
      </c>
      <c r="T4" s="770" t="s">
        <v>392</v>
      </c>
      <c r="U4" s="771" t="s">
        <v>393</v>
      </c>
      <c r="V4" s="771" t="s">
        <v>394</v>
      </c>
      <c r="W4" s="774" t="s">
        <v>395</v>
      </c>
      <c r="X4" s="774" t="s">
        <v>396</v>
      </c>
    </row>
    <row r="5" spans="1:24" ht="16.5" thickTop="1" thickBot="1">
      <c r="A5" s="808" t="s">
        <v>397</v>
      </c>
      <c r="B5" s="779" t="s">
        <v>398</v>
      </c>
      <c r="C5" s="773" t="s">
        <v>399</v>
      </c>
      <c r="D5" s="778">
        <v>639451369473</v>
      </c>
      <c r="E5" s="779" t="s">
        <v>383</v>
      </c>
      <c r="F5" s="778" t="s">
        <v>382</v>
      </c>
      <c r="G5" s="779" t="s">
        <v>383</v>
      </c>
      <c r="H5" s="779" t="s">
        <v>383</v>
      </c>
      <c r="I5" s="779" t="s">
        <v>384</v>
      </c>
      <c r="J5" s="218"/>
      <c r="K5" s="219" t="s">
        <v>400</v>
      </c>
      <c r="L5" s="220"/>
      <c r="M5" s="220"/>
      <c r="N5" s="220"/>
      <c r="O5" s="220"/>
    </row>
    <row r="6" spans="1:24" ht="13.5" customHeight="1" thickTop="1" thickBot="1">
      <c r="A6" s="808"/>
      <c r="B6" s="782" t="s">
        <v>401</v>
      </c>
      <c r="C6" s="773" t="s">
        <v>402</v>
      </c>
      <c r="D6" s="778">
        <v>9770363630</v>
      </c>
      <c r="E6" s="779" t="s">
        <v>383</v>
      </c>
      <c r="F6" s="778" t="s">
        <v>403</v>
      </c>
      <c r="G6" s="779" t="s">
        <v>383</v>
      </c>
      <c r="H6" s="779" t="s">
        <v>383</v>
      </c>
      <c r="I6" s="779" t="s">
        <v>384</v>
      </c>
      <c r="J6" s="218"/>
      <c r="K6" s="220" t="s">
        <v>404</v>
      </c>
      <c r="L6" s="220"/>
      <c r="M6" s="220"/>
      <c r="N6" s="220"/>
      <c r="O6" s="220"/>
    </row>
    <row r="7" spans="1:24" ht="13.5" hidden="1" customHeight="1">
      <c r="A7" s="808"/>
      <c r="B7" s="779" t="s">
        <v>405</v>
      </c>
      <c r="C7" s="773" t="s">
        <v>406</v>
      </c>
      <c r="D7" s="778">
        <v>639276860889</v>
      </c>
      <c r="E7" s="779" t="s">
        <v>407</v>
      </c>
      <c r="F7" s="778" t="s">
        <v>408</v>
      </c>
      <c r="G7" s="779" t="s">
        <v>383</v>
      </c>
      <c r="H7" s="779" t="s">
        <v>383</v>
      </c>
      <c r="I7" s="779" t="s">
        <v>384</v>
      </c>
      <c r="J7" s="218"/>
      <c r="K7" s="221" t="s">
        <v>409</v>
      </c>
      <c r="L7" s="220"/>
      <c r="M7" s="220"/>
      <c r="N7" s="220"/>
      <c r="O7" s="220"/>
    </row>
    <row r="8" spans="1:24" ht="13.5" customHeight="1" thickTop="1" thickBot="1">
      <c r="A8" s="808"/>
      <c r="B8" s="783" t="s">
        <v>410</v>
      </c>
      <c r="C8" s="773" t="s">
        <v>411</v>
      </c>
      <c r="D8" s="781" t="s">
        <v>412</v>
      </c>
      <c r="E8" s="779" t="s">
        <v>383</v>
      </c>
      <c r="F8" s="778" t="s">
        <v>408</v>
      </c>
      <c r="G8" s="779" t="s">
        <v>383</v>
      </c>
      <c r="H8" s="779" t="s">
        <v>383</v>
      </c>
      <c r="I8" s="779" t="s">
        <v>384</v>
      </c>
      <c r="J8" s="218"/>
      <c r="K8" s="221"/>
      <c r="L8" s="220"/>
      <c r="M8" s="220"/>
      <c r="N8" s="220"/>
      <c r="O8" s="717"/>
    </row>
    <row r="9" spans="1:24" ht="16.5" thickTop="1" thickBot="1">
      <c r="A9" s="809" t="s">
        <v>413</v>
      </c>
      <c r="B9" s="775" t="s">
        <v>414</v>
      </c>
      <c r="C9" s="772" t="s">
        <v>415</v>
      </c>
      <c r="D9" s="778">
        <v>639394679695</v>
      </c>
      <c r="E9" s="779"/>
      <c r="F9" s="784"/>
      <c r="G9" s="779"/>
      <c r="H9" s="779"/>
      <c r="I9" s="779" t="s">
        <v>384</v>
      </c>
      <c r="K9" s="222" t="s">
        <v>416</v>
      </c>
      <c r="L9" s="220"/>
      <c r="M9" s="220"/>
      <c r="N9" s="220"/>
      <c r="O9" s="717"/>
    </row>
    <row r="10" spans="1:24" ht="16.5" thickTop="1" thickBot="1">
      <c r="A10" s="809"/>
      <c r="B10" s="775" t="s">
        <v>417</v>
      </c>
      <c r="C10" s="772" t="s">
        <v>418</v>
      </c>
      <c r="D10" s="778">
        <v>9954842174</v>
      </c>
      <c r="E10" s="779"/>
      <c r="F10" s="784"/>
      <c r="G10" s="779"/>
      <c r="H10" s="779"/>
      <c r="I10" s="779" t="s">
        <v>384</v>
      </c>
      <c r="K10" s="220" t="s">
        <v>419</v>
      </c>
      <c r="L10" s="220"/>
      <c r="M10" s="220"/>
      <c r="N10" s="220"/>
      <c r="O10" s="717"/>
    </row>
    <row r="11" spans="1:24" ht="16.5" thickTop="1" thickBot="1">
      <c r="A11" s="777" t="s">
        <v>420</v>
      </c>
      <c r="B11" s="773" t="s">
        <v>421</v>
      </c>
      <c r="C11" s="772" t="s">
        <v>422</v>
      </c>
      <c r="D11" s="778"/>
      <c r="E11" s="779"/>
      <c r="F11" s="784"/>
      <c r="G11" s="779"/>
      <c r="H11" s="779"/>
      <c r="I11" s="779"/>
      <c r="K11" s="220"/>
      <c r="L11" s="220"/>
      <c r="M11" s="220"/>
      <c r="N11" s="220"/>
      <c r="O11" s="717"/>
    </row>
    <row r="12" spans="1:24" ht="16.5" thickTop="1" thickBot="1">
      <c r="A12" s="807" t="s">
        <v>139</v>
      </c>
      <c r="B12" s="785" t="s">
        <v>423</v>
      </c>
      <c r="C12" s="772" t="s">
        <v>424</v>
      </c>
      <c r="D12" s="778">
        <v>9182968034</v>
      </c>
      <c r="E12" s="779"/>
      <c r="F12" s="784"/>
      <c r="G12" s="779"/>
      <c r="H12" s="779"/>
      <c r="I12" s="779"/>
      <c r="K12" s="220"/>
      <c r="L12" s="220"/>
      <c r="M12" s="220"/>
      <c r="N12" s="220"/>
      <c r="O12" s="717"/>
    </row>
    <row r="13" spans="1:24" ht="16.5" thickTop="1" thickBot="1">
      <c r="A13" s="807"/>
      <c r="B13" s="785" t="s">
        <v>425</v>
      </c>
      <c r="C13" s="772" t="s">
        <v>426</v>
      </c>
      <c r="D13" s="778"/>
      <c r="E13" s="779"/>
      <c r="F13" s="784"/>
      <c r="G13" s="779"/>
      <c r="H13" s="779"/>
      <c r="I13" s="779"/>
      <c r="K13" s="220"/>
      <c r="L13" s="220"/>
      <c r="M13" s="220"/>
      <c r="N13" s="220"/>
      <c r="O13" s="717"/>
    </row>
    <row r="14" spans="1:24" ht="16.5" customHeight="1" thickTop="1" thickBot="1">
      <c r="A14" s="784"/>
      <c r="B14" s="786" t="s">
        <v>427</v>
      </c>
      <c r="C14" s="787" t="s">
        <v>428</v>
      </c>
      <c r="D14" s="787" t="s">
        <v>429</v>
      </c>
      <c r="E14" s="784"/>
      <c r="F14" s="784"/>
      <c r="G14" s="784"/>
      <c r="H14" s="784"/>
      <c r="I14" s="784"/>
      <c r="K14" s="224" t="s">
        <v>430</v>
      </c>
      <c r="L14" s="220"/>
      <c r="M14" s="220"/>
      <c r="N14" s="220"/>
      <c r="O14" s="717"/>
    </row>
    <row r="15" spans="1:24" ht="16.5" thickTop="1" thickBot="1">
      <c r="A15" s="784"/>
      <c r="B15" s="788" t="s">
        <v>388</v>
      </c>
      <c r="C15" s="789"/>
      <c r="D15" s="789"/>
      <c r="E15" s="784"/>
      <c r="F15" s="784"/>
      <c r="G15" s="784"/>
      <c r="H15" s="784"/>
      <c r="I15" s="784"/>
      <c r="J15"/>
      <c r="K15" s="225" t="s">
        <v>431</v>
      </c>
      <c r="L15" s="220"/>
      <c r="M15" s="220"/>
      <c r="N15" s="220"/>
      <c r="O15" s="717"/>
    </row>
    <row r="16" spans="1:24" ht="16.5" thickTop="1" thickBot="1">
      <c r="A16" s="790" t="s">
        <v>369</v>
      </c>
      <c r="B16" s="784"/>
      <c r="C16" s="784"/>
      <c r="D16" s="784"/>
      <c r="E16" s="784"/>
      <c r="F16" s="784"/>
      <c r="G16" s="784"/>
      <c r="H16" s="784"/>
      <c r="I16" s="791"/>
      <c r="J16"/>
      <c r="K16" s="220" t="s">
        <v>432</v>
      </c>
      <c r="L16" s="220"/>
      <c r="M16" s="220"/>
      <c r="N16" s="220"/>
      <c r="O16" s="717"/>
    </row>
    <row r="17" spans="1:17" ht="39.75" thickTop="1" thickBot="1">
      <c r="A17" s="792" t="s">
        <v>433</v>
      </c>
      <c r="B17" s="793" t="s">
        <v>388</v>
      </c>
      <c r="C17" s="794"/>
      <c r="D17" s="794"/>
      <c r="E17" s="795" t="s">
        <v>434</v>
      </c>
      <c r="F17" s="796"/>
      <c r="G17" s="794"/>
      <c r="H17" s="794"/>
      <c r="I17" s="791"/>
      <c r="J17"/>
      <c r="K17" s="220" t="s">
        <v>435</v>
      </c>
      <c r="L17" s="220"/>
      <c r="M17" s="220"/>
      <c r="N17" s="220"/>
      <c r="O17" s="220"/>
    </row>
    <row r="18" spans="1:17" ht="15.75" thickTop="1">
      <c r="J18"/>
      <c r="K18" s="220" t="s">
        <v>436</v>
      </c>
      <c r="L18" s="220"/>
      <c r="M18" s="220"/>
      <c r="N18" s="220"/>
      <c r="O18" s="220"/>
    </row>
    <row r="19" spans="1:17">
      <c r="A19" s="226"/>
      <c r="K19" s="220" t="s">
        <v>437</v>
      </c>
      <c r="L19" s="220"/>
      <c r="M19" s="220"/>
      <c r="N19" s="220"/>
      <c r="O19" s="220"/>
    </row>
    <row r="20" spans="1:17">
      <c r="A20" s="722" t="s">
        <v>438</v>
      </c>
      <c r="B20" s="720" t="s">
        <v>439</v>
      </c>
      <c r="C20" s="857"/>
      <c r="K20" s="221" t="s">
        <v>440</v>
      </c>
      <c r="L20" s="220"/>
      <c r="M20" s="220"/>
      <c r="N20" s="220"/>
      <c r="O20" s="220"/>
    </row>
    <row r="21" spans="1:17">
      <c r="A21" s="721"/>
      <c r="B21" s="858"/>
      <c r="C21" s="858"/>
    </row>
    <row r="22" spans="1:17" hidden="1">
      <c r="A22" s="723" t="s">
        <v>441</v>
      </c>
      <c r="B22" s="857"/>
      <c r="C22" s="857"/>
    </row>
    <row r="25" spans="1:17" ht="115.5" customHeight="1"/>
    <row r="26" spans="1:17" ht="32.25" hidden="1" customHeight="1">
      <c r="C26" s="31"/>
      <c r="D26" s="31"/>
      <c r="K26" s="227" t="s">
        <v>442</v>
      </c>
      <c r="L26" s="228"/>
      <c r="M26" s="228"/>
      <c r="N26" s="228"/>
      <c r="P26" s="229"/>
      <c r="Q26" s="230"/>
    </row>
    <row r="27" spans="1:17" ht="38.25" hidden="1" customHeight="1">
      <c r="A27" s="31"/>
      <c r="B27" s="31"/>
      <c r="K27" s="231" t="s">
        <v>443</v>
      </c>
      <c r="L27" s="231" t="s">
        <v>444</v>
      </c>
      <c r="M27" s="231" t="s">
        <v>445</v>
      </c>
      <c r="N27" s="232" t="s">
        <v>446</v>
      </c>
      <c r="O27" s="233" t="s">
        <v>447</v>
      </c>
      <c r="P27" s="234" t="s">
        <v>446</v>
      </c>
      <c r="Q27" s="233" t="s">
        <v>448</v>
      </c>
    </row>
    <row r="28" spans="1:17" ht="79.5" hidden="1" customHeight="1">
      <c r="A28" s="31"/>
      <c r="B28" s="31"/>
      <c r="K28" s="235" t="s">
        <v>449</v>
      </c>
      <c r="L28" s="235" t="s">
        <v>450</v>
      </c>
      <c r="M28" s="236" t="s">
        <v>451</v>
      </c>
      <c r="N28" s="237" t="s">
        <v>452</v>
      </c>
      <c r="O28" s="238" t="s">
        <v>453</v>
      </c>
      <c r="P28" s="810" t="s">
        <v>452</v>
      </c>
      <c r="Q28" s="239" t="s">
        <v>454</v>
      </c>
    </row>
    <row r="29" spans="1:17" ht="18" hidden="1" customHeight="1">
      <c r="A29" s="31"/>
      <c r="B29" s="31"/>
      <c r="K29" s="240" t="s">
        <v>455</v>
      </c>
      <c r="L29" s="241" t="s">
        <v>450</v>
      </c>
      <c r="M29" s="241" t="s">
        <v>456</v>
      </c>
      <c r="N29" s="242" t="s">
        <v>457</v>
      </c>
      <c r="O29" s="243"/>
      <c r="P29" s="811"/>
      <c r="Q29" s="239" t="s">
        <v>458</v>
      </c>
    </row>
    <row r="30" spans="1:17" ht="18" hidden="1" customHeight="1">
      <c r="A30" s="31"/>
      <c r="B30" s="31"/>
      <c r="K30" s="240" t="s">
        <v>459</v>
      </c>
      <c r="L30" s="241" t="s">
        <v>460</v>
      </c>
      <c r="M30" s="244" t="s">
        <v>461</v>
      </c>
      <c r="N30" s="242" t="s">
        <v>462</v>
      </c>
      <c r="O30" s="245"/>
      <c r="P30" s="812"/>
      <c r="Q30" s="246" t="s">
        <v>463</v>
      </c>
    </row>
    <row r="31" spans="1:17" ht="48" hidden="1">
      <c r="A31" s="31"/>
      <c r="B31" s="31"/>
      <c r="K31" s="241" t="s">
        <v>464</v>
      </c>
      <c r="L31" s="241" t="s">
        <v>465</v>
      </c>
      <c r="M31" s="244" t="s">
        <v>461</v>
      </c>
      <c r="N31" s="242" t="s">
        <v>462</v>
      </c>
      <c r="O31" s="243"/>
      <c r="P31" s="247" t="s">
        <v>457</v>
      </c>
      <c r="Q31" s="248" t="s">
        <v>466</v>
      </c>
    </row>
    <row r="32" spans="1:17" ht="36" hidden="1">
      <c r="A32" s="31"/>
      <c r="B32" s="31"/>
      <c r="K32" s="241" t="s">
        <v>467</v>
      </c>
      <c r="L32" s="241" t="s">
        <v>468</v>
      </c>
      <c r="M32" s="244" t="s">
        <v>461</v>
      </c>
      <c r="N32" s="242" t="s">
        <v>462</v>
      </c>
      <c r="O32" s="243"/>
      <c r="P32" s="247" t="s">
        <v>462</v>
      </c>
      <c r="Q32" s="248"/>
    </row>
    <row r="33" spans="1:20" ht="36" hidden="1">
      <c r="A33" s="31"/>
      <c r="B33" s="31"/>
      <c r="K33" s="241" t="s">
        <v>469</v>
      </c>
      <c r="L33" s="241" t="s">
        <v>470</v>
      </c>
      <c r="M33" s="244" t="s">
        <v>461</v>
      </c>
      <c r="N33" s="242" t="s">
        <v>462</v>
      </c>
      <c r="O33" s="243"/>
      <c r="P33" s="247" t="s">
        <v>462</v>
      </c>
      <c r="Q33" s="249"/>
    </row>
    <row r="34" spans="1:20" ht="36" hidden="1">
      <c r="A34" s="31"/>
      <c r="B34" s="31"/>
      <c r="K34" s="241" t="s">
        <v>471</v>
      </c>
      <c r="L34" s="241" t="s">
        <v>472</v>
      </c>
      <c r="M34" s="244" t="s">
        <v>461</v>
      </c>
      <c r="N34" s="242" t="s">
        <v>462</v>
      </c>
      <c r="O34" s="243"/>
      <c r="P34" s="247" t="s">
        <v>462</v>
      </c>
      <c r="Q34" s="250"/>
    </row>
    <row r="35" spans="1:20" ht="72.75" hidden="1">
      <c r="A35" s="31"/>
      <c r="B35" s="31"/>
      <c r="K35" s="235" t="s">
        <v>473</v>
      </c>
      <c r="L35" s="235" t="s">
        <v>474</v>
      </c>
      <c r="M35" s="251" t="s">
        <v>475</v>
      </c>
      <c r="N35" s="237" t="s">
        <v>476</v>
      </c>
      <c r="O35" s="243"/>
      <c r="P35" s="247" t="s">
        <v>462</v>
      </c>
      <c r="Q35" s="250"/>
    </row>
    <row r="36" spans="1:20" ht="120" hidden="1">
      <c r="A36" s="31"/>
      <c r="B36" s="31"/>
      <c r="K36" s="241" t="s">
        <v>477</v>
      </c>
      <c r="L36" s="241" t="s">
        <v>474</v>
      </c>
      <c r="M36" s="244" t="s">
        <v>478</v>
      </c>
      <c r="N36" s="242" t="s">
        <v>479</v>
      </c>
      <c r="O36" s="243"/>
      <c r="P36" s="252" t="s">
        <v>476</v>
      </c>
      <c r="Q36" s="253" t="s">
        <v>480</v>
      </c>
    </row>
    <row r="37" spans="1:20" ht="60" hidden="1">
      <c r="A37" s="31"/>
      <c r="B37" s="31"/>
      <c r="K37" s="254" t="s">
        <v>481</v>
      </c>
      <c r="L37" s="254" t="s">
        <v>482</v>
      </c>
      <c r="M37" s="255" t="s">
        <v>483</v>
      </c>
      <c r="N37" s="237" t="s">
        <v>484</v>
      </c>
      <c r="O37" s="256"/>
      <c r="P37" s="247" t="s">
        <v>479</v>
      </c>
      <c r="Q37" s="257"/>
    </row>
    <row r="38" spans="1:20" hidden="1">
      <c r="A38" s="31"/>
      <c r="B38" s="31"/>
      <c r="I38"/>
      <c r="J38"/>
    </row>
    <row r="39" spans="1:20" hidden="1">
      <c r="A39" s="31"/>
      <c r="B39" s="31"/>
      <c r="I39"/>
      <c r="J39"/>
    </row>
    <row r="40" spans="1:20" hidden="1">
      <c r="A40" s="31"/>
      <c r="B40" s="31"/>
      <c r="I40"/>
      <c r="J40"/>
    </row>
    <row r="41" spans="1:20" hidden="1">
      <c r="A41" s="31"/>
      <c r="B41" s="31"/>
      <c r="I41"/>
      <c r="J41"/>
    </row>
    <row r="42" spans="1:20" hidden="1">
      <c r="A42" s="31"/>
      <c r="B42" s="31"/>
      <c r="I42"/>
      <c r="J42"/>
    </row>
    <row r="43" spans="1:20" hidden="1">
      <c r="A43" s="31"/>
      <c r="B43" s="31"/>
      <c r="I43"/>
      <c r="J43"/>
    </row>
    <row r="44" spans="1:20" hidden="1">
      <c r="A44" s="31"/>
      <c r="B44" s="31"/>
      <c r="I44"/>
      <c r="J44"/>
    </row>
    <row r="45" spans="1:20" ht="30" hidden="1">
      <c r="A45" s="258">
        <v>38</v>
      </c>
      <c r="B45" s="259" t="s">
        <v>485</v>
      </c>
      <c r="C45" s="258" t="s">
        <v>486</v>
      </c>
      <c r="D45" s="258" t="s">
        <v>487</v>
      </c>
      <c r="E45" s="260"/>
      <c r="F45" s="260"/>
      <c r="G45" s="261">
        <v>0</v>
      </c>
      <c r="H45" s="258" t="s">
        <v>488</v>
      </c>
      <c r="I45" s="258" t="s">
        <v>489</v>
      </c>
      <c r="J45" s="258" t="s">
        <v>490</v>
      </c>
      <c r="K45" s="258" t="s">
        <v>491</v>
      </c>
      <c r="L45" s="258" t="s">
        <v>492</v>
      </c>
      <c r="M45" s="258" t="s">
        <v>493</v>
      </c>
      <c r="N45" s="258" t="s">
        <v>494</v>
      </c>
      <c r="O45" s="258" t="s">
        <v>495</v>
      </c>
      <c r="P45" s="258" t="s">
        <v>496</v>
      </c>
      <c r="Q45" s="260"/>
      <c r="R45" s="260"/>
      <c r="S45" s="262" t="s">
        <v>497</v>
      </c>
      <c r="T45" s="262" t="s">
        <v>498</v>
      </c>
    </row>
    <row r="46" spans="1:20" ht="45" hidden="1">
      <c r="A46" s="258">
        <v>39</v>
      </c>
      <c r="B46" s="263" t="s">
        <v>387</v>
      </c>
      <c r="C46" s="258" t="s">
        <v>499</v>
      </c>
      <c r="D46" s="258" t="s">
        <v>487</v>
      </c>
      <c r="E46" s="258" t="s">
        <v>500</v>
      </c>
      <c r="F46" s="258"/>
      <c r="G46" s="261">
        <v>0</v>
      </c>
      <c r="H46" s="264" t="s">
        <v>488</v>
      </c>
      <c r="I46" s="264" t="s">
        <v>494</v>
      </c>
      <c r="J46" s="258" t="s">
        <v>490</v>
      </c>
      <c r="K46" s="258" t="s">
        <v>501</v>
      </c>
      <c r="L46" s="258" t="s">
        <v>492</v>
      </c>
      <c r="M46" s="258" t="s">
        <v>502</v>
      </c>
      <c r="N46" s="258" t="s">
        <v>494</v>
      </c>
      <c r="O46" s="258" t="s">
        <v>503</v>
      </c>
      <c r="P46" s="258" t="s">
        <v>504</v>
      </c>
      <c r="Q46" s="260"/>
      <c r="R46" s="260"/>
      <c r="S46" s="262" t="s">
        <v>497</v>
      </c>
      <c r="T46" s="262" t="s">
        <v>505</v>
      </c>
    </row>
    <row r="47" spans="1:20" hidden="1">
      <c r="A47" s="31"/>
      <c r="B47" s="31"/>
      <c r="I47"/>
      <c r="J47"/>
    </row>
    <row r="48" spans="1:20" hidden="1">
      <c r="A48" s="31"/>
      <c r="B48" s="31"/>
      <c r="I48"/>
      <c r="J48"/>
    </row>
    <row r="49" spans="1:10">
      <c r="A49" s="31"/>
      <c r="B49" s="31"/>
      <c r="I49"/>
      <c r="J49"/>
    </row>
    <row r="50" spans="1:10">
      <c r="A50" s="31"/>
      <c r="B50" s="31"/>
      <c r="I50"/>
      <c r="J50"/>
    </row>
    <row r="51" spans="1:10">
      <c r="C51" s="31"/>
      <c r="D51" s="31"/>
      <c r="I51"/>
      <c r="J51"/>
    </row>
    <row r="52" spans="1:10">
      <c r="C52" s="31"/>
      <c r="D52" s="31"/>
      <c r="I52"/>
      <c r="J52"/>
    </row>
    <row r="53" spans="1:10">
      <c r="C53" s="31"/>
      <c r="D53" s="31"/>
      <c r="I53"/>
      <c r="J53"/>
    </row>
    <row r="54" spans="1:10">
      <c r="C54" s="31"/>
      <c r="D54" s="31"/>
      <c r="I54"/>
      <c r="J54"/>
    </row>
    <row r="55" spans="1:10">
      <c r="C55" s="31"/>
      <c r="D55" s="31"/>
      <c r="I55"/>
      <c r="J55"/>
    </row>
    <row r="56" spans="1:10">
      <c r="C56" s="31"/>
      <c r="D56" s="31"/>
      <c r="I56"/>
      <c r="J56"/>
    </row>
    <row r="57" spans="1:10">
      <c r="C57" s="31"/>
      <c r="D57" s="31"/>
      <c r="I57"/>
      <c r="J57"/>
    </row>
    <row r="58" spans="1:10">
      <c r="C58" s="31"/>
      <c r="D58" s="31"/>
      <c r="I58"/>
      <c r="J58"/>
    </row>
    <row r="59" spans="1:10">
      <c r="C59" s="31"/>
      <c r="D59" s="31"/>
      <c r="I59"/>
      <c r="J59"/>
    </row>
    <row r="60" spans="1:10">
      <c r="C60" s="31"/>
      <c r="D60" s="31"/>
      <c r="I60"/>
      <c r="J60"/>
    </row>
    <row r="61" spans="1:10">
      <c r="C61" s="31"/>
      <c r="D61" s="31"/>
      <c r="I61"/>
      <c r="J61"/>
    </row>
    <row r="62" spans="1:10">
      <c r="C62" s="31"/>
      <c r="D62" s="31"/>
      <c r="I62"/>
      <c r="J62"/>
    </row>
    <row r="63" spans="1:10">
      <c r="C63" s="31"/>
      <c r="D63" s="31"/>
      <c r="I63"/>
      <c r="J63"/>
    </row>
    <row r="64" spans="1:10">
      <c r="C64" s="31"/>
      <c r="D64" s="31"/>
      <c r="I64"/>
      <c r="J64"/>
    </row>
    <row r="65" spans="3:10">
      <c r="C65" s="31"/>
      <c r="D65" s="31"/>
      <c r="I65"/>
      <c r="J65"/>
    </row>
    <row r="66" spans="3:10">
      <c r="C66" s="31"/>
      <c r="D66" s="31"/>
      <c r="I66"/>
      <c r="J66"/>
    </row>
    <row r="67" spans="3:10">
      <c r="C67" s="31"/>
      <c r="D67" s="31"/>
      <c r="I67"/>
      <c r="J67"/>
    </row>
    <row r="68" spans="3:10">
      <c r="C68" s="31"/>
      <c r="D68" s="31"/>
      <c r="I68"/>
      <c r="J68"/>
    </row>
    <row r="69" spans="3:10">
      <c r="C69" s="31"/>
      <c r="D69" s="31"/>
      <c r="I69"/>
      <c r="J69"/>
    </row>
    <row r="70" spans="3:10">
      <c r="C70" s="31"/>
      <c r="D70" s="31"/>
      <c r="I70"/>
      <c r="J70"/>
    </row>
    <row r="71" spans="3:10">
      <c r="C71" s="31"/>
      <c r="D71" s="31"/>
      <c r="I71"/>
      <c r="J71"/>
    </row>
  </sheetData>
  <autoFilter ref="A2:I17" xr:uid="{2E28A98B-68AA-4E07-8FFA-B048338CA352}"/>
  <mergeCells count="16">
    <mergeCell ref="A1:I1"/>
    <mergeCell ref="A3:A4"/>
    <mergeCell ref="P28:P30"/>
    <mergeCell ref="S2:S3"/>
    <mergeCell ref="T2:T3"/>
    <mergeCell ref="O2:O3"/>
    <mergeCell ref="P2:P3"/>
    <mergeCell ref="Q2:Q3"/>
    <mergeCell ref="R2:R3"/>
    <mergeCell ref="U2:U3"/>
    <mergeCell ref="V2:V3"/>
    <mergeCell ref="W2:W3"/>
    <mergeCell ref="X2:X3"/>
    <mergeCell ref="A12:A13"/>
    <mergeCell ref="A5:A8"/>
    <mergeCell ref="A9:A10"/>
  </mergeCells>
  <conditionalFormatting sqref="E3:E13 G3:I13">
    <cfRule type="cellIs" dxfId="70" priority="1" operator="equal">
      <formula>"No"</formula>
    </cfRule>
    <cfRule type="cellIs" dxfId="69" priority="2" operator="equal">
      <formula>"Yes"</formula>
    </cfRule>
  </conditionalFormatting>
  <conditionalFormatting sqref="J2">
    <cfRule type="cellIs" dxfId="68" priority="5" operator="equal">
      <formula>"No"</formula>
    </cfRule>
    <cfRule type="cellIs" dxfId="67" priority="6" operator="equal">
      <formula>"Yes"</formula>
    </cfRule>
  </conditionalFormatting>
  <conditionalFormatting sqref="J5:J8">
    <cfRule type="cellIs" dxfId="66" priority="7" operator="equal">
      <formula>"No"</formula>
    </cfRule>
    <cfRule type="cellIs" dxfId="65" priority="8" operator="equal">
      <formula>"Yes"</formula>
    </cfRule>
  </conditionalFormatting>
  <conditionalFormatting sqref="K9">
    <cfRule type="cellIs" dxfId="64" priority="3" operator="equal">
      <formula>"No"</formula>
    </cfRule>
    <cfRule type="cellIs" dxfId="63" priority="4" operator="equal">
      <formula>"Yes"</formula>
    </cfRule>
  </conditionalFormatting>
  <dataValidations count="2">
    <dataValidation type="list" allowBlank="1" showInputMessage="1" showErrorMessage="1" sqref="J2 G22:H24 E18:F20 J5:J8 I11:I13 E3:E13 G3:H13" xr:uid="{85681F44-BC51-4459-AC08-1CE9973B5137}">
      <formula1>"Yes, No"</formula1>
    </dataValidation>
    <dataValidation type="list" allowBlank="1" showInputMessage="1" showErrorMessage="1" sqref="I3:I10" xr:uid="{3DD024EC-F41A-4CC6-96CA-71C53BE5DD48}">
      <formula1>"Yes, No, Tentative, -"</formula1>
    </dataValidation>
  </dataValidations>
  <hyperlinks>
    <hyperlink ref="B20" r:id="rId1" xr:uid="{23F08E72-C0FC-455F-A385-3252EE6235F4}"/>
  </hyperlinks>
  <pageMargins left="0.7" right="0.7" top="0.75" bottom="0.75" header="0.3" footer="0.3"/>
  <pageSetup orientation="portrait"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0218-61B6-4CE5-A362-7394D23B2CDB}">
  <sheetPr codeName="Sheet7">
    <tabColor rgb="FF7030A0"/>
  </sheetPr>
  <dimension ref="A1:X230"/>
  <sheetViews>
    <sheetView zoomScale="109" zoomScaleNormal="90" workbookViewId="0">
      <pane xSplit="1" topLeftCell="D1" activePane="topRight" state="frozen"/>
      <selection pane="topRight" activeCell="N3" sqref="N3:T8"/>
    </sheetView>
  </sheetViews>
  <sheetFormatPr defaultRowHeight="15"/>
  <cols>
    <col min="2" max="2" width="17.140625" customWidth="1"/>
    <col min="3" max="3" width="12.5703125" bestFit="1" customWidth="1"/>
    <col min="4" max="4" width="34.5703125" bestFit="1" customWidth="1"/>
    <col min="5" max="5" width="15.140625" bestFit="1" customWidth="1"/>
    <col min="6" max="6" width="13.85546875" customWidth="1"/>
    <col min="7" max="7" width="15.5703125" hidden="1" customWidth="1"/>
    <col min="8" max="8" width="12.42578125" bestFit="1" customWidth="1"/>
    <col min="9" max="9" width="14.28515625" bestFit="1" customWidth="1"/>
    <col min="10" max="11" width="12.42578125" bestFit="1" customWidth="1"/>
    <col min="12" max="12" width="14.7109375" customWidth="1"/>
    <col min="13" max="13" width="22.42578125" customWidth="1"/>
    <col min="14" max="14" width="30.85546875" customWidth="1"/>
    <col min="15" max="20" width="13.7109375" customWidth="1"/>
    <col min="21" max="21" width="15.7109375" customWidth="1"/>
  </cols>
  <sheetData>
    <row r="1" spans="1:24">
      <c r="B1" s="82" t="s">
        <v>506</v>
      </c>
      <c r="C1" s="82"/>
      <c r="D1" s="83"/>
      <c r="E1" s="83"/>
      <c r="F1" s="83"/>
      <c r="G1" s="83"/>
      <c r="H1" s="83"/>
      <c r="I1" s="83"/>
      <c r="J1" s="83"/>
      <c r="K1" s="83"/>
      <c r="L1" s="83"/>
      <c r="M1" s="83"/>
      <c r="N1" s="83"/>
      <c r="O1" s="83"/>
      <c r="P1" s="83"/>
      <c r="Q1" s="83"/>
      <c r="R1" s="83"/>
      <c r="S1" s="83"/>
      <c r="T1" s="83"/>
      <c r="U1" s="83"/>
      <c r="V1" s="83"/>
      <c r="W1" s="83"/>
      <c r="X1" s="83"/>
    </row>
    <row r="2" spans="1:24" ht="15.75" thickBot="1"/>
    <row r="3" spans="1:24">
      <c r="A3" s="816" t="s">
        <v>507</v>
      </c>
      <c r="B3" s="816"/>
      <c r="C3" s="572" t="s">
        <v>311</v>
      </c>
      <c r="D3" s="85" t="s">
        <v>361</v>
      </c>
      <c r="E3" s="86" t="s">
        <v>508</v>
      </c>
      <c r="F3" s="87" t="s">
        <v>509</v>
      </c>
      <c r="G3" s="86" t="s">
        <v>510</v>
      </c>
      <c r="H3" s="87" t="s">
        <v>105</v>
      </c>
      <c r="I3" s="87" t="s">
        <v>511</v>
      </c>
      <c r="J3" s="87" t="s">
        <v>512</v>
      </c>
      <c r="K3" s="88" t="s">
        <v>513</v>
      </c>
      <c r="L3" s="572" t="s">
        <v>65</v>
      </c>
      <c r="N3" s="562" t="s">
        <v>507</v>
      </c>
      <c r="O3" s="84" t="s">
        <v>258</v>
      </c>
      <c r="P3" s="84" t="s">
        <v>259</v>
      </c>
      <c r="Q3" s="84" t="s">
        <v>260</v>
      </c>
      <c r="R3" s="84" t="s">
        <v>261</v>
      </c>
      <c r="S3" s="84" t="s">
        <v>121</v>
      </c>
      <c r="T3" s="84" t="s">
        <v>262</v>
      </c>
    </row>
    <row r="4" spans="1:24">
      <c r="A4" s="817" t="s">
        <v>514</v>
      </c>
      <c r="B4" s="462" t="s">
        <v>515</v>
      </c>
      <c r="C4" s="482" t="s">
        <v>516</v>
      </c>
      <c r="D4" s="464" t="s">
        <v>517</v>
      </c>
      <c r="E4" s="561" t="s">
        <v>518</v>
      </c>
      <c r="F4" s="24" t="s">
        <v>519</v>
      </c>
      <c r="G4" s="463" t="s">
        <v>520</v>
      </c>
      <c r="H4" s="214" t="str" cm="1">
        <f t="array" ref="H4">_xlfn.IFS(AND(I4="Completed",J4="Completed",K4="Completed"),"Completed",OR(I4="In Progress",J4="In Progress",K4="In Progress"),"In Progress",OR(I4="Failed",J4="Failed",K4="Failed"),"Failed",OR(I4="Not Started",J4="Not Started",K4="Not Started"),"Not Started",OR(I4="Not Applicable",J4="Not Applicable",K4="Not Applicable"),"Not Applicable")</f>
        <v>Completed</v>
      </c>
      <c r="I4" s="214" t="s">
        <v>521</v>
      </c>
      <c r="J4" s="214" t="s">
        <v>521</v>
      </c>
      <c r="K4" s="214" t="s">
        <v>521</v>
      </c>
      <c r="L4" s="573"/>
      <c r="N4" s="89" t="s">
        <v>522</v>
      </c>
      <c r="O4" s="90">
        <f>COUNTIF(I6:K9,"Completed")</f>
        <v>12</v>
      </c>
      <c r="P4" s="90">
        <f>COUNTIF(I6:K9,"Failed")</f>
        <v>0</v>
      </c>
      <c r="Q4" s="90">
        <f>COUNTIF(I6:K9,"In Progress")</f>
        <v>0</v>
      </c>
      <c r="R4" s="90">
        <f>COUNTIF(I6:K9,"Not Started")</f>
        <v>0</v>
      </c>
      <c r="S4" s="90">
        <f>COUNTIF(I6:K9,"Not Applicable")</f>
        <v>0</v>
      </c>
      <c r="T4" s="90">
        <f>SUM(O4:S4)</f>
        <v>12</v>
      </c>
    </row>
    <row r="5" spans="1:24">
      <c r="A5" s="817"/>
      <c r="B5" s="462" t="s">
        <v>515</v>
      </c>
      <c r="C5" s="482" t="s">
        <v>516</v>
      </c>
      <c r="D5" s="464" t="s">
        <v>523</v>
      </c>
      <c r="E5" s="24" t="s">
        <v>524</v>
      </c>
      <c r="F5" s="24" t="s">
        <v>525</v>
      </c>
      <c r="G5" s="463" t="s">
        <v>520</v>
      </c>
      <c r="H5" s="214" t="str" cm="1">
        <f t="array" ref="H5">_xlfn.IFS(AND(I5="Completed",J5="Completed",K5="Completed"),"Completed",OR(I5="In Progress",J5="In Progress",K5="In Progress"),"In Progress",OR(I5="Failed",J5="Failed",K5="Failed"),"Failed",OR(I5="Not Started",J5="Not Started",K5="Not Started"),"Not Started",OR(I5="Not Applicable",J5="Not Applicable",K5="Not Applicable"),"Not Applicable")</f>
        <v>Completed</v>
      </c>
      <c r="I5" s="214" t="s">
        <v>521</v>
      </c>
      <c r="J5" s="214" t="s">
        <v>521</v>
      </c>
      <c r="K5" s="214" t="s">
        <v>521</v>
      </c>
      <c r="L5" s="573"/>
      <c r="N5" s="89" t="s">
        <v>526</v>
      </c>
      <c r="O5" s="90">
        <f>COUNTIF(I4:K5,"Completed")</f>
        <v>6</v>
      </c>
      <c r="P5" s="90">
        <f>COUNTIF(I4:K5,"Failed")</f>
        <v>0</v>
      </c>
      <c r="Q5" s="90">
        <f>COUNTIF(I4:K5,"In Progress")</f>
        <v>0</v>
      </c>
      <c r="R5" s="90">
        <f>COUNTIF(I4:K5,"Not Started")</f>
        <v>0</v>
      </c>
      <c r="S5" s="90">
        <f>COUNTIF(I4:K5,"Not Applicable")</f>
        <v>0</v>
      </c>
      <c r="T5" s="90">
        <f>SUM(O5:S5)</f>
        <v>6</v>
      </c>
    </row>
    <row r="6" spans="1:24">
      <c r="A6" s="817"/>
      <c r="B6" s="462" t="s">
        <v>527</v>
      </c>
      <c r="C6" s="482" t="s">
        <v>528</v>
      </c>
      <c r="D6" s="464" t="s">
        <v>529</v>
      </c>
      <c r="E6" s="209" t="s">
        <v>530</v>
      </c>
      <c r="F6" s="24" t="s">
        <v>531</v>
      </c>
      <c r="G6" s="463" t="s">
        <v>520</v>
      </c>
      <c r="H6" s="214" t="str" cm="1">
        <f t="array" ref="H6">_xlfn.IFS(AND(I6="Completed",J6="Completed",K6="Completed"),"Completed",OR(I6="In Progress",J6="In Progress",K6="In Progress"),"In Progress",OR(I6="Failed",J6="Failed",K6="Failed"),"Failed",OR(I6="Not Started",J6="Not Started",K6="Not Started"),"Not Started",OR(I6="Not Applicable",J6="Not Applicable",K6="Not Applicable"),"Not Applicable")</f>
        <v>Completed</v>
      </c>
      <c r="I6" s="214" t="s">
        <v>521</v>
      </c>
      <c r="J6" s="214" t="s">
        <v>521</v>
      </c>
      <c r="K6" s="214" t="s">
        <v>521</v>
      </c>
      <c r="L6" s="573"/>
      <c r="N6" s="89" t="s">
        <v>532</v>
      </c>
      <c r="O6" s="90">
        <f>COUNTIF(I12:K12,"Completed")</f>
        <v>3</v>
      </c>
      <c r="P6" s="90">
        <f>COUNTIF(I12:K12,"Failed")</f>
        <v>0</v>
      </c>
      <c r="Q6" s="90">
        <f>COUNTIF(I12:K12,"In Progress")</f>
        <v>0</v>
      </c>
      <c r="R6" s="90">
        <f>COUNTIF(I12:K12,"Not Started")</f>
        <v>0</v>
      </c>
      <c r="S6" s="90">
        <f>COUNTIF(I12:K12,"Not Applicable")</f>
        <v>0</v>
      </c>
      <c r="T6" s="91">
        <f>SUM(O6:S6)</f>
        <v>3</v>
      </c>
    </row>
    <row r="7" spans="1:24">
      <c r="A7" s="817"/>
      <c r="B7" s="462" t="s">
        <v>527</v>
      </c>
      <c r="C7" s="482" t="s">
        <v>533</v>
      </c>
      <c r="D7" s="464" t="s">
        <v>534</v>
      </c>
      <c r="E7" s="24" t="s">
        <v>535</v>
      </c>
      <c r="F7" s="24" t="s">
        <v>536</v>
      </c>
      <c r="G7" s="463" t="s">
        <v>520</v>
      </c>
      <c r="H7" s="214" t="str" cm="1">
        <f t="array" ref="H7">_xlfn.IFS(AND(I7="Completed",J7="Completed",K7="Completed"),"Completed",OR(I7="In Progress",J7="In Progress",K7="In Progress"),"In Progress",OR(I7="Failed",J7="Failed",K7="Failed"),"Failed",OR(I7="Not Started",J7="Not Started",K7="Not Started"),"Not Started",OR(I7="Not Applicable",J7="Not Applicable",K7="Not Applicable"),"Not Applicable")</f>
        <v>Completed</v>
      </c>
      <c r="I7" s="214" t="s">
        <v>521</v>
      </c>
      <c r="J7" s="214" t="s">
        <v>521</v>
      </c>
      <c r="K7" s="214" t="s">
        <v>521</v>
      </c>
      <c r="L7" s="573"/>
      <c r="N7" s="89" t="s">
        <v>537</v>
      </c>
      <c r="O7" s="90">
        <f>COUNTIF(I10:K10,"Completed")</f>
        <v>3</v>
      </c>
      <c r="P7" s="90">
        <f>COUNTIF(I10:K10,"Failed")</f>
        <v>0</v>
      </c>
      <c r="Q7" s="90">
        <f>COUNTIF(I10:K10,"In Progress")</f>
        <v>0</v>
      </c>
      <c r="R7" s="90">
        <f>COUNTIF(I10:K10,"Not Started")</f>
        <v>0</v>
      </c>
      <c r="S7" s="90">
        <f>COUNTIF(I10:K10,"Not Applicable")</f>
        <v>0</v>
      </c>
      <c r="T7" s="90">
        <f>SUM(O7:S7)</f>
        <v>3</v>
      </c>
    </row>
    <row r="8" spans="1:24">
      <c r="A8" s="817"/>
      <c r="B8" s="462" t="s">
        <v>527</v>
      </c>
      <c r="C8" s="482" t="s">
        <v>528</v>
      </c>
      <c r="D8" s="464" t="s">
        <v>538</v>
      </c>
      <c r="E8" s="24" t="s">
        <v>539</v>
      </c>
      <c r="F8" s="24" t="s">
        <v>540</v>
      </c>
      <c r="G8" s="463" t="s">
        <v>520</v>
      </c>
      <c r="H8" s="214" t="str" cm="1">
        <f t="array" ref="H8">_xlfn.IFS(AND(I8="Completed",J8="Completed",K8="Completed"),"Completed",OR(I8="In Progress",J8="In Progress",K8="In Progress"),"In Progress",OR(I8="Failed",J8="Failed",K8="Failed"),"Failed",OR(I8="Not Started",J8="Not Started",K8="Not Started"),"Not Started",OR(I8="Not Applicable",J8="Not Applicable",K8="Not Applicable"),"Not Applicable")</f>
        <v>Completed</v>
      </c>
      <c r="I8" s="214" t="s">
        <v>521</v>
      </c>
      <c r="J8" s="214" t="s">
        <v>521</v>
      </c>
      <c r="K8" s="214" t="s">
        <v>521</v>
      </c>
      <c r="L8" s="573"/>
      <c r="N8" s="89" t="s">
        <v>541</v>
      </c>
      <c r="O8" s="90">
        <f>COUNTIF(I11:K11,"Completed")</f>
        <v>3</v>
      </c>
      <c r="P8" s="90">
        <f>COUNTIF(I11:K11,"Failed")</f>
        <v>0</v>
      </c>
      <c r="Q8" s="91">
        <f>COUNTIF(I11:K11,"In Progress")</f>
        <v>0</v>
      </c>
      <c r="R8" s="91">
        <f>COUNTIF(I11:K11,"Not Started")</f>
        <v>0</v>
      </c>
      <c r="S8" s="91">
        <f>COUNTIF(I11:K11,"Not Applicable")</f>
        <v>0</v>
      </c>
      <c r="T8" s="90">
        <f>SUM(O8:S8)</f>
        <v>3</v>
      </c>
    </row>
    <row r="9" spans="1:24">
      <c r="A9" s="817"/>
      <c r="B9" s="462" t="s">
        <v>527</v>
      </c>
      <c r="C9" s="482" t="s">
        <v>528</v>
      </c>
      <c r="D9" s="464" t="s">
        <v>542</v>
      </c>
      <c r="E9" s="24" t="s">
        <v>543</v>
      </c>
      <c r="F9" s="24" t="s">
        <v>544</v>
      </c>
      <c r="G9" s="463" t="s">
        <v>520</v>
      </c>
      <c r="H9" s="214" t="str" cm="1">
        <f t="array" ref="H9">_xlfn.IFS(AND(I9="Completed",J9="Completed",K9="Completed"),"Completed",OR(I9="In Progress",J9="In Progress",K9="In Progress"),"In Progress",OR(I9="Failed",J9="Failed",K9="Failed"),"Failed",OR(I9="Not Started",J9="Not Started",K9="Not Started"),"Not Started",OR(I9="Not Applicable",J9="Not Applicable",K9="Not Applicable"),"Not Applicable")</f>
        <v>Completed</v>
      </c>
      <c r="I9" s="214" t="s">
        <v>521</v>
      </c>
      <c r="J9" s="214" t="s">
        <v>521</v>
      </c>
      <c r="K9" s="214" t="s">
        <v>521</v>
      </c>
      <c r="L9" s="574"/>
      <c r="N9" s="94"/>
      <c r="O9" s="570"/>
      <c r="P9" s="570"/>
      <c r="Q9" s="571"/>
      <c r="R9" s="571"/>
      <c r="S9" s="571"/>
      <c r="T9" s="570"/>
    </row>
    <row r="10" spans="1:24">
      <c r="A10" s="818" t="s">
        <v>545</v>
      </c>
      <c r="B10" s="462" t="s">
        <v>527</v>
      </c>
      <c r="C10" s="482" t="s">
        <v>528</v>
      </c>
      <c r="D10" s="464" t="s">
        <v>546</v>
      </c>
      <c r="E10" s="24" t="s">
        <v>547</v>
      </c>
      <c r="F10" s="24" t="s">
        <v>548</v>
      </c>
      <c r="G10" s="463" t="s">
        <v>520</v>
      </c>
      <c r="H10" s="214" t="str" cm="1">
        <f t="array" ref="H10">_xlfn.IFS(AND(I10="Completed",J10="Completed",K10="Completed"),"Completed",OR(I10="In Progress",J10="In Progress",K10="In Progress"),"In Progress",OR(I10="Failed",J10="Failed",K10="Failed"),"Failed",OR(I10="Not Started",J10="Not Started",K10="Not Started"),"Not Started",OR(I10="Not Applicable",J10="Not Applicable",K10="Not Applicable"),"Not Applicable")</f>
        <v>Completed</v>
      </c>
      <c r="I10" s="214" t="s">
        <v>521</v>
      </c>
      <c r="J10" s="214" t="s">
        <v>521</v>
      </c>
      <c r="K10" s="214" t="s">
        <v>521</v>
      </c>
      <c r="L10" s="573"/>
      <c r="O10" s="96" t="s">
        <v>549</v>
      </c>
      <c r="P10" s="96" t="s">
        <v>550</v>
      </c>
      <c r="Q10" s="96" t="s">
        <v>551</v>
      </c>
      <c r="R10" s="96" t="s">
        <v>552</v>
      </c>
      <c r="S10" s="96" t="s">
        <v>553</v>
      </c>
      <c r="T10" s="96" t="s">
        <v>554</v>
      </c>
    </row>
    <row r="11" spans="1:24">
      <c r="A11" s="818"/>
      <c r="B11" s="462" t="s">
        <v>555</v>
      </c>
      <c r="C11" s="482" t="s">
        <v>556</v>
      </c>
      <c r="D11" s="464" t="s">
        <v>557</v>
      </c>
      <c r="E11" s="24" t="s">
        <v>558</v>
      </c>
      <c r="F11" s="24" t="s">
        <v>559</v>
      </c>
      <c r="G11" s="463" t="s">
        <v>520</v>
      </c>
      <c r="H11" s="214" t="str" cm="1">
        <f t="array" ref="H11">_xlfn.IFS(AND(I11="Completed",J11="Completed",K11="Completed"),"Completed",OR(I11="In Progress",J11="In Progress",K11="In Progress"),"In Progress",OR(I11="Failed",J11="Failed",K11="Failed"),"Failed",OR(I11="Not Started",J11="Not Started",K11="Not Started"),"Not Started",OR(I11="Not Applicable",J11="Not Applicable",K11="Not Applicable"),"Not Applicable")</f>
        <v>Completed</v>
      </c>
      <c r="I11" s="214" t="s">
        <v>521</v>
      </c>
      <c r="J11" s="214" t="s">
        <v>521</v>
      </c>
      <c r="K11" s="214" t="s">
        <v>521</v>
      </c>
      <c r="L11" s="573"/>
      <c r="O11" s="97" t="s">
        <v>521</v>
      </c>
      <c r="P11" s="91">
        <v>4</v>
      </c>
      <c r="Q11" s="91" t="s">
        <v>560</v>
      </c>
      <c r="R11" s="98">
        <v>46168</v>
      </c>
      <c r="S11" s="98">
        <v>46171</v>
      </c>
      <c r="T11" s="91"/>
    </row>
    <row r="12" spans="1:24" ht="15.75" thickBot="1">
      <c r="A12" s="818"/>
      <c r="B12" s="575" t="s">
        <v>515</v>
      </c>
      <c r="C12" s="576" t="s">
        <v>516</v>
      </c>
      <c r="D12" s="577" t="s">
        <v>561</v>
      </c>
      <c r="E12" s="578" t="s">
        <v>562</v>
      </c>
      <c r="F12" s="578" t="s">
        <v>563</v>
      </c>
      <c r="G12" s="579" t="s">
        <v>520</v>
      </c>
      <c r="H12" s="214" t="str" cm="1">
        <f t="array" ref="H12">_xlfn.IFS(AND(I12="Completed",J12="Completed",K12="Completed"),"Completed",OR(I12="In Progress",J12="In Progress",K12="In Progress"),"In Progress",OR(I12="Failed",J12="Failed",K12="Failed"),"Failed",OR(I12="Not Started",J12="Not Started",K12="Not Started"),"Not Started",OR(I12="Not Applicable",J12="Not Applicable",K12="Not Applicable"),"Not Applicable")</f>
        <v>Completed</v>
      </c>
      <c r="I12" s="580" t="s">
        <v>521</v>
      </c>
      <c r="J12" s="580" t="s">
        <v>521</v>
      </c>
      <c r="K12" s="580" t="s">
        <v>521</v>
      </c>
      <c r="L12" s="581"/>
    </row>
    <row r="33" ht="15.75" hidden="1" customHeight="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75" spans="2:24">
      <c r="B75" s="82" t="s">
        <v>564</v>
      </c>
      <c r="C75" s="82"/>
      <c r="D75" s="83"/>
      <c r="E75" s="83"/>
      <c r="F75" s="83"/>
      <c r="G75" s="83"/>
      <c r="H75" s="83"/>
      <c r="I75" s="83"/>
      <c r="J75" s="83"/>
      <c r="K75" s="83"/>
      <c r="L75" s="83"/>
      <c r="M75" s="83"/>
      <c r="N75" s="83"/>
      <c r="O75" s="83"/>
      <c r="P75" s="83"/>
      <c r="Q75" s="83"/>
      <c r="R75" s="83"/>
      <c r="S75" s="83"/>
      <c r="T75" s="83"/>
      <c r="U75" s="83"/>
      <c r="V75" s="83"/>
      <c r="W75" s="83"/>
      <c r="X75" s="83"/>
    </row>
    <row r="77" spans="2:24" ht="15.75" thickBot="1">
      <c r="N77" s="84" t="s">
        <v>507</v>
      </c>
      <c r="O77" s="84" t="s">
        <v>258</v>
      </c>
      <c r="P77" s="84" t="s">
        <v>259</v>
      </c>
      <c r="Q77" s="84" t="s">
        <v>260</v>
      </c>
      <c r="R77" s="84" t="s">
        <v>261</v>
      </c>
      <c r="S77" s="84" t="s">
        <v>121</v>
      </c>
      <c r="T77" s="84" t="s">
        <v>262</v>
      </c>
    </row>
    <row r="78" spans="2:24" ht="15.75" thickBot="1">
      <c r="B78" s="99" t="s">
        <v>507</v>
      </c>
      <c r="C78" s="100"/>
      <c r="D78" s="100" t="s">
        <v>361</v>
      </c>
      <c r="E78" s="101" t="s">
        <v>508</v>
      </c>
      <c r="F78" s="101" t="s">
        <v>509</v>
      </c>
      <c r="G78" s="101"/>
      <c r="H78" s="101" t="s">
        <v>105</v>
      </c>
      <c r="I78" s="101" t="s">
        <v>511</v>
      </c>
      <c r="J78" s="101" t="s">
        <v>512</v>
      </c>
      <c r="K78" s="100" t="s">
        <v>513</v>
      </c>
      <c r="L78" s="102" t="s">
        <v>65</v>
      </c>
      <c r="N78" s="89" t="str">
        <f>B79</f>
        <v>UKIA Legal</v>
      </c>
      <c r="O78" s="90">
        <f>COUNTIF(I79:K80,"Completed")</f>
        <v>6</v>
      </c>
      <c r="P78" s="90">
        <f>COUNTIF(I79:K80,"Failed")</f>
        <v>0</v>
      </c>
      <c r="Q78" s="90">
        <f>COUNTIF(I79:K80,"In Progress")</f>
        <v>0</v>
      </c>
      <c r="R78" s="90">
        <f>COUNTIF(I79:K80,"Not Started")</f>
        <v>0</v>
      </c>
      <c r="S78" s="90">
        <f>COUNTIF(I79:K80,"Not Applicable")</f>
        <v>0</v>
      </c>
      <c r="T78" s="90">
        <f t="shared" ref="T78:T83" si="0">SUM(O78:S78)</f>
        <v>6</v>
      </c>
    </row>
    <row r="79" spans="2:24" ht="15.75" thickBot="1">
      <c r="B79" s="103" t="s">
        <v>565</v>
      </c>
      <c r="C79" s="477"/>
      <c r="D79" s="859" t="s">
        <v>566</v>
      </c>
      <c r="E79" s="104" t="s">
        <v>567</v>
      </c>
      <c r="F79" s="104" t="s">
        <v>568</v>
      </c>
      <c r="G79" s="104"/>
      <c r="H79" s="105" t="s">
        <v>521</v>
      </c>
      <c r="I79" s="105" t="s">
        <v>521</v>
      </c>
      <c r="J79" s="105" t="s">
        <v>521</v>
      </c>
      <c r="K79" s="105" t="s">
        <v>521</v>
      </c>
      <c r="L79" s="106" t="s">
        <v>336</v>
      </c>
      <c r="N79" s="93" t="str">
        <f>B81</f>
        <v>GALLIA Legal</v>
      </c>
      <c r="O79" s="90">
        <f>COUNTIF(I81:K81,"Completed")</f>
        <v>3</v>
      </c>
      <c r="P79" s="90">
        <f>COUNTIF(I81:K81,"Failed")</f>
        <v>0</v>
      </c>
      <c r="Q79" s="90">
        <f>COUNTIF(I81:K81,"In Progress")</f>
        <v>0</v>
      </c>
      <c r="R79" s="90">
        <f>COUNTIF(I81:K81,"Not Started")</f>
        <v>0</v>
      </c>
      <c r="S79" s="90">
        <f>COUNTIF(I81:K81,"Not Applicable")</f>
        <v>0</v>
      </c>
      <c r="T79" s="90">
        <f t="shared" si="0"/>
        <v>3</v>
      </c>
    </row>
    <row r="80" spans="2:24" ht="15.75" thickBot="1">
      <c r="B80" s="107" t="s">
        <v>569</v>
      </c>
      <c r="C80" s="477"/>
      <c r="D80" s="860"/>
      <c r="E80" s="108" t="s">
        <v>570</v>
      </c>
      <c r="F80" s="108" t="s">
        <v>336</v>
      </c>
      <c r="G80" s="108"/>
      <c r="H80" s="105" t="s">
        <v>521</v>
      </c>
      <c r="I80" s="105" t="s">
        <v>521</v>
      </c>
      <c r="J80" s="105" t="s">
        <v>521</v>
      </c>
      <c r="K80" s="105" t="s">
        <v>521</v>
      </c>
      <c r="L80" s="109" t="s">
        <v>336</v>
      </c>
      <c r="N80" s="93" t="str">
        <f>B82</f>
        <v>NA Legal</v>
      </c>
      <c r="O80" s="90">
        <f>COUNTIF(I82:K82,"Completed")</f>
        <v>3</v>
      </c>
      <c r="P80" s="90">
        <f>COUNTIF(I82:K82,"Failed")</f>
        <v>0</v>
      </c>
      <c r="Q80" s="90">
        <f>COUNTIF(I82:K82,"In Progress")</f>
        <v>0</v>
      </c>
      <c r="R80" s="90">
        <f>COUNTIF(I82:K82,"Not Started")</f>
        <v>0</v>
      </c>
      <c r="S80" s="90">
        <f>COUNTIF(I82:K82,"Not Applicable")</f>
        <v>0</v>
      </c>
      <c r="T80" s="90">
        <f t="shared" si="0"/>
        <v>3</v>
      </c>
    </row>
    <row r="81" spans="2:20" ht="15.75" thickBot="1">
      <c r="B81" s="110" t="s">
        <v>571</v>
      </c>
      <c r="C81" s="478"/>
      <c r="D81" s="111" t="s">
        <v>572</v>
      </c>
      <c r="E81" s="112" t="s">
        <v>573</v>
      </c>
      <c r="F81" s="108" t="s">
        <v>574</v>
      </c>
      <c r="G81" s="108"/>
      <c r="H81" s="105" t="s">
        <v>521</v>
      </c>
      <c r="I81" s="105" t="s">
        <v>521</v>
      </c>
      <c r="J81" s="105" t="s">
        <v>521</v>
      </c>
      <c r="K81" s="105" t="s">
        <v>521</v>
      </c>
      <c r="L81" s="109"/>
      <c r="N81" s="89" t="str">
        <f>B83</f>
        <v>India Procurement</v>
      </c>
      <c r="O81" s="90">
        <f>COUNTIF(I83:K88,"Completed")</f>
        <v>14</v>
      </c>
      <c r="P81" s="90">
        <f>COUNTIF(I83:K88,"Failed")</f>
        <v>0</v>
      </c>
      <c r="Q81" s="90">
        <f>COUNTIF(I83:K88,"In Progress")</f>
        <v>0</v>
      </c>
      <c r="R81" s="90">
        <f>COUNTIF(I83:K88,"Not Started")</f>
        <v>0</v>
      </c>
      <c r="S81" s="90">
        <f>COUNTIF(I83:K88,"Not Applicable")</f>
        <v>4</v>
      </c>
      <c r="T81" s="90">
        <f t="shared" si="0"/>
        <v>18</v>
      </c>
    </row>
    <row r="82" spans="2:20" ht="15.75" thickBot="1">
      <c r="B82" s="110" t="s">
        <v>575</v>
      </c>
      <c r="C82" s="478"/>
      <c r="D82" s="111" t="s">
        <v>576</v>
      </c>
      <c r="E82" s="112" t="s">
        <v>577</v>
      </c>
      <c r="F82" s="108" t="s">
        <v>578</v>
      </c>
      <c r="G82" s="108"/>
      <c r="H82" s="105" t="s">
        <v>521</v>
      </c>
      <c r="I82" s="105" t="s">
        <v>521</v>
      </c>
      <c r="J82" s="105" t="s">
        <v>521</v>
      </c>
      <c r="K82" s="105" t="s">
        <v>521</v>
      </c>
      <c r="L82" s="109" t="s">
        <v>336</v>
      </c>
      <c r="N82" s="89" t="str">
        <f>B89</f>
        <v>PH Procurement</v>
      </c>
      <c r="O82" s="90">
        <f>COUNTIF(I89:K91,"Completed")</f>
        <v>8</v>
      </c>
      <c r="P82" s="90">
        <f>COUNTIF(I89:K91,"Failed")</f>
        <v>0</v>
      </c>
      <c r="Q82" s="90">
        <f>COUNTIF(I89:K91,"In Progress")</f>
        <v>0</v>
      </c>
      <c r="R82" s="90">
        <f>COUNTIF(I89:K91,"Not Started")</f>
        <v>0</v>
      </c>
      <c r="S82" s="90">
        <f>COUNTIF(I89:K91,"Not Applicable")</f>
        <v>1</v>
      </c>
      <c r="T82" s="90">
        <f t="shared" si="0"/>
        <v>9</v>
      </c>
    </row>
    <row r="83" spans="2:20" ht="15" customHeight="1" thickBot="1">
      <c r="B83" s="861" t="s">
        <v>532</v>
      </c>
      <c r="C83" s="478"/>
      <c r="D83" s="111" t="s">
        <v>579</v>
      </c>
      <c r="E83" s="112" t="s">
        <v>336</v>
      </c>
      <c r="F83" s="108" t="s">
        <v>336</v>
      </c>
      <c r="G83" s="108"/>
      <c r="H83" s="113" t="s">
        <v>121</v>
      </c>
      <c r="I83" s="113" t="s">
        <v>121</v>
      </c>
      <c r="J83" s="113" t="s">
        <v>121</v>
      </c>
      <c r="K83" s="113" t="s">
        <v>121</v>
      </c>
      <c r="L83" s="109" t="s">
        <v>580</v>
      </c>
      <c r="N83" s="89" t="str">
        <f>B92</f>
        <v>NA Procurement</v>
      </c>
      <c r="O83" s="90">
        <f>COUNTIF(I92:K93,"Completed")</f>
        <v>6</v>
      </c>
      <c r="P83" s="90">
        <f>COUNTIF(I92:K93,"Failed")</f>
        <v>0</v>
      </c>
      <c r="Q83" s="90">
        <f>COUNTIF(I92:K93,"In Progress")</f>
        <v>0</v>
      </c>
      <c r="R83" s="90">
        <f>COUNTIF(I92:K93,"Not Started")</f>
        <v>0</v>
      </c>
      <c r="S83" s="90">
        <f>COUNTIF(I92:K93,"Not Applicable")</f>
        <v>0</v>
      </c>
      <c r="T83" s="90">
        <f t="shared" si="0"/>
        <v>6</v>
      </c>
    </row>
    <row r="84" spans="2:20" ht="15.75" thickBot="1">
      <c r="B84" s="861"/>
      <c r="C84" s="478"/>
      <c r="D84" s="111" t="s">
        <v>581</v>
      </c>
      <c r="E84" s="112" t="s">
        <v>582</v>
      </c>
      <c r="F84" s="108" t="s">
        <v>583</v>
      </c>
      <c r="G84" s="108"/>
      <c r="H84" s="105" t="s">
        <v>521</v>
      </c>
      <c r="I84" s="105" t="s">
        <v>521</v>
      </c>
      <c r="J84" s="105" t="s">
        <v>521</v>
      </c>
      <c r="K84" s="105" t="s">
        <v>521</v>
      </c>
      <c r="L84" s="109" t="s">
        <v>336</v>
      </c>
      <c r="N84" s="94"/>
    </row>
    <row r="85" spans="2:20" ht="15.75" thickBot="1">
      <c r="B85" s="861"/>
      <c r="C85" s="478"/>
      <c r="D85" s="111" t="s">
        <v>584</v>
      </c>
      <c r="E85" s="112" t="s">
        <v>336</v>
      </c>
      <c r="F85" s="108" t="s">
        <v>585</v>
      </c>
      <c r="G85" s="108"/>
      <c r="H85" s="105" t="s">
        <v>521</v>
      </c>
      <c r="I85" s="113" t="s">
        <v>121</v>
      </c>
      <c r="J85" s="105" t="s">
        <v>521</v>
      </c>
      <c r="K85" s="105" t="s">
        <v>521</v>
      </c>
      <c r="L85" s="109"/>
      <c r="N85" s="94"/>
      <c r="O85" s="95" t="s">
        <v>258</v>
      </c>
      <c r="P85" s="95" t="s">
        <v>259</v>
      </c>
      <c r="Q85" s="95" t="s">
        <v>260</v>
      </c>
      <c r="R85" s="95" t="s">
        <v>261</v>
      </c>
      <c r="S85" s="95" t="s">
        <v>121</v>
      </c>
      <c r="T85" s="95" t="s">
        <v>262</v>
      </c>
    </row>
    <row r="86" spans="2:20" ht="15.75" thickBot="1">
      <c r="B86" s="861"/>
      <c r="C86" s="478"/>
      <c r="D86" s="111" t="s">
        <v>586</v>
      </c>
      <c r="E86" s="112" t="s">
        <v>587</v>
      </c>
      <c r="F86" s="108" t="s">
        <v>588</v>
      </c>
      <c r="G86" s="108"/>
      <c r="H86" s="105" t="s">
        <v>521</v>
      </c>
      <c r="I86" s="105" t="s">
        <v>521</v>
      </c>
      <c r="J86" s="105" t="s">
        <v>521</v>
      </c>
      <c r="K86" s="105" t="s">
        <v>521</v>
      </c>
      <c r="L86" s="109" t="s">
        <v>336</v>
      </c>
      <c r="N86" s="94"/>
      <c r="O86" s="91">
        <f t="shared" ref="O86:T86" si="1">SUM(O78:O83)</f>
        <v>40</v>
      </c>
      <c r="P86" s="91">
        <f t="shared" si="1"/>
        <v>0</v>
      </c>
      <c r="Q86" s="91">
        <f t="shared" si="1"/>
        <v>0</v>
      </c>
      <c r="R86" s="91">
        <f t="shared" si="1"/>
        <v>0</v>
      </c>
      <c r="S86" s="91">
        <f t="shared" si="1"/>
        <v>5</v>
      </c>
      <c r="T86" s="91">
        <f t="shared" si="1"/>
        <v>45</v>
      </c>
    </row>
    <row r="87" spans="2:20" ht="15.75" customHeight="1" thickBot="1">
      <c r="B87" s="861"/>
      <c r="C87" s="478"/>
      <c r="D87" s="111" t="s">
        <v>589</v>
      </c>
      <c r="E87" s="112" t="s">
        <v>590</v>
      </c>
      <c r="F87" s="108" t="s">
        <v>591</v>
      </c>
      <c r="G87" s="108"/>
      <c r="H87" s="105" t="s">
        <v>521</v>
      </c>
      <c r="I87" s="105" t="s">
        <v>521</v>
      </c>
      <c r="J87" s="105" t="s">
        <v>521</v>
      </c>
      <c r="K87" s="105" t="s">
        <v>521</v>
      </c>
      <c r="L87" s="114" t="s">
        <v>336</v>
      </c>
      <c r="N87" s="94"/>
      <c r="O87" s="96" t="s">
        <v>549</v>
      </c>
      <c r="P87" s="96" t="s">
        <v>550</v>
      </c>
      <c r="Q87" s="96" t="s">
        <v>551</v>
      </c>
      <c r="R87" s="96" t="s">
        <v>552</v>
      </c>
      <c r="S87" s="96" t="s">
        <v>553</v>
      </c>
      <c r="T87" s="96" t="s">
        <v>554</v>
      </c>
    </row>
    <row r="88" spans="2:20" ht="15.75" thickBot="1">
      <c r="B88" s="862"/>
      <c r="C88" s="478"/>
      <c r="D88" s="111" t="s">
        <v>592</v>
      </c>
      <c r="E88" s="112" t="s">
        <v>593</v>
      </c>
      <c r="F88" s="108" t="s">
        <v>594</v>
      </c>
      <c r="G88" s="108"/>
      <c r="H88" s="105" t="s">
        <v>521</v>
      </c>
      <c r="I88" s="105" t="s">
        <v>521</v>
      </c>
      <c r="J88" s="105" t="s">
        <v>521</v>
      </c>
      <c r="K88" s="105" t="s">
        <v>521</v>
      </c>
      <c r="L88" s="109" t="s">
        <v>336</v>
      </c>
      <c r="O88" s="105" t="s">
        <v>521</v>
      </c>
      <c r="P88" s="91">
        <v>8</v>
      </c>
      <c r="Q88" s="91" t="s">
        <v>560</v>
      </c>
      <c r="R88" s="98">
        <v>45349</v>
      </c>
      <c r="S88" s="98">
        <v>45351</v>
      </c>
      <c r="T88" s="91"/>
    </row>
    <row r="89" spans="2:20" ht="15.75" thickBot="1">
      <c r="B89" s="861" t="s">
        <v>595</v>
      </c>
      <c r="C89" s="478"/>
      <c r="D89" s="111" t="s">
        <v>596</v>
      </c>
      <c r="E89" s="112" t="s">
        <v>597</v>
      </c>
      <c r="F89" s="108" t="s">
        <v>336</v>
      </c>
      <c r="G89" s="108"/>
      <c r="H89" s="105" t="s">
        <v>521</v>
      </c>
      <c r="I89" s="105" t="s">
        <v>521</v>
      </c>
      <c r="J89" s="105" t="s">
        <v>521</v>
      </c>
      <c r="K89" s="105" t="s">
        <v>521</v>
      </c>
      <c r="L89" s="109" t="s">
        <v>336</v>
      </c>
    </row>
    <row r="90" spans="2:20" ht="15.75" thickBot="1">
      <c r="B90" s="861"/>
      <c r="C90" s="478"/>
      <c r="D90" s="111" t="s">
        <v>598</v>
      </c>
      <c r="E90" s="112" t="s">
        <v>336</v>
      </c>
      <c r="F90" s="108" t="s">
        <v>599</v>
      </c>
      <c r="G90" s="108"/>
      <c r="H90" s="105" t="s">
        <v>521</v>
      </c>
      <c r="I90" s="113" t="s">
        <v>121</v>
      </c>
      <c r="J90" s="105" t="s">
        <v>521</v>
      </c>
      <c r="K90" s="105" t="s">
        <v>521</v>
      </c>
      <c r="L90" s="109" t="s">
        <v>336</v>
      </c>
    </row>
    <row r="91" spans="2:20" ht="15.75" thickBot="1">
      <c r="B91" s="862"/>
      <c r="C91" s="478"/>
      <c r="D91" s="111" t="s">
        <v>600</v>
      </c>
      <c r="E91" s="115" t="s">
        <v>601</v>
      </c>
      <c r="F91" s="115" t="s">
        <v>602</v>
      </c>
      <c r="G91" s="115"/>
      <c r="H91" s="105" t="s">
        <v>521</v>
      </c>
      <c r="I91" s="105" t="s">
        <v>521</v>
      </c>
      <c r="J91" s="105" t="s">
        <v>521</v>
      </c>
      <c r="K91" s="105" t="s">
        <v>521</v>
      </c>
      <c r="L91" s="109" t="s">
        <v>336</v>
      </c>
    </row>
    <row r="92" spans="2:20" ht="15.75" thickBot="1">
      <c r="B92" s="863" t="s">
        <v>603</v>
      </c>
      <c r="C92" s="478"/>
      <c r="D92" s="111" t="s">
        <v>604</v>
      </c>
      <c r="E92" s="112" t="s">
        <v>605</v>
      </c>
      <c r="F92" s="108" t="s">
        <v>606</v>
      </c>
      <c r="G92" s="108"/>
      <c r="H92" s="105" t="s">
        <v>521</v>
      </c>
      <c r="I92" s="105" t="s">
        <v>521</v>
      </c>
      <c r="J92" s="105" t="s">
        <v>521</v>
      </c>
      <c r="K92" s="105" t="s">
        <v>521</v>
      </c>
      <c r="L92" s="109" t="s">
        <v>336</v>
      </c>
    </row>
    <row r="93" spans="2:20" ht="15.75" thickBot="1">
      <c r="B93" s="864"/>
      <c r="C93" s="478"/>
      <c r="D93" s="111" t="s">
        <v>607</v>
      </c>
      <c r="E93" s="116" t="s">
        <v>608</v>
      </c>
      <c r="F93" s="117" t="s">
        <v>609</v>
      </c>
      <c r="G93" s="117"/>
      <c r="H93" s="105" t="s">
        <v>521</v>
      </c>
      <c r="I93" s="105" t="s">
        <v>521</v>
      </c>
      <c r="J93" s="105" t="s">
        <v>521</v>
      </c>
      <c r="K93" s="105" t="s">
        <v>521</v>
      </c>
      <c r="L93" s="118" t="s">
        <v>336</v>
      </c>
    </row>
    <row r="132" spans="2:24" ht="14.25" customHeight="1">
      <c r="B132" s="82" t="s">
        <v>610</v>
      </c>
      <c r="C132" s="82"/>
      <c r="D132" s="83"/>
      <c r="E132" s="83"/>
      <c r="F132" s="83"/>
      <c r="G132" s="83"/>
      <c r="H132" s="83"/>
      <c r="I132" s="83"/>
      <c r="J132" s="83"/>
      <c r="K132" s="83"/>
      <c r="L132" s="83"/>
      <c r="M132" s="83"/>
      <c r="N132" s="83"/>
      <c r="O132" s="83"/>
      <c r="P132" s="83"/>
      <c r="Q132" s="83"/>
      <c r="R132" s="83"/>
      <c r="S132" s="83"/>
      <c r="T132" s="83"/>
      <c r="U132" s="83"/>
      <c r="V132" s="83"/>
      <c r="W132" s="83"/>
      <c r="X132" s="83"/>
    </row>
    <row r="135" spans="2:24" ht="15.75" thickBot="1">
      <c r="N135" s="84" t="s">
        <v>507</v>
      </c>
      <c r="O135" s="84" t="s">
        <v>258</v>
      </c>
      <c r="P135" s="84" t="s">
        <v>259</v>
      </c>
      <c r="Q135" s="84" t="s">
        <v>260</v>
      </c>
      <c r="R135" s="84" t="s">
        <v>261</v>
      </c>
      <c r="S135" s="84" t="s">
        <v>121</v>
      </c>
      <c r="T135" s="84" t="s">
        <v>262</v>
      </c>
    </row>
    <row r="136" spans="2:24" ht="15.75" thickBot="1">
      <c r="B136" s="99" t="s">
        <v>507</v>
      </c>
      <c r="C136" s="479"/>
      <c r="D136" s="119" t="s">
        <v>361</v>
      </c>
      <c r="E136" s="119" t="s">
        <v>508</v>
      </c>
      <c r="F136" s="119" t="s">
        <v>509</v>
      </c>
      <c r="G136" s="119"/>
      <c r="H136" s="120" t="s">
        <v>105</v>
      </c>
      <c r="I136" s="119" t="s">
        <v>511</v>
      </c>
      <c r="J136" s="119" t="s">
        <v>512</v>
      </c>
      <c r="K136" s="119" t="s">
        <v>513</v>
      </c>
      <c r="L136" s="121" t="s">
        <v>65</v>
      </c>
      <c r="N136" s="89" t="str">
        <f>B137</f>
        <v>ASGR Legal</v>
      </c>
      <c r="O136" s="90">
        <f>COUNTIF(I137:K137,"Passed")</f>
        <v>3</v>
      </c>
      <c r="P136" s="90">
        <f>COUNTIF(I137:K137,"Failed")</f>
        <v>0</v>
      </c>
      <c r="Q136" s="90">
        <f>COUNTIF(I137:K137,"In Progress")</f>
        <v>0</v>
      </c>
      <c r="R136" s="90">
        <f>COUNTIF(I137:K137,"Not Started")</f>
        <v>0</v>
      </c>
      <c r="S136" s="90">
        <f>COUNTIF(I137:K137,"Not Applicable")</f>
        <v>0</v>
      </c>
      <c r="T136" s="90">
        <f t="shared" ref="T136" si="2">SUM(O136:S136)</f>
        <v>3</v>
      </c>
    </row>
    <row r="137" spans="2:24" ht="15.75" thickBot="1">
      <c r="B137" s="122" t="s">
        <v>611</v>
      </c>
      <c r="C137" s="476"/>
      <c r="D137" s="123" t="s">
        <v>566</v>
      </c>
      <c r="E137" s="124" t="s">
        <v>612</v>
      </c>
      <c r="F137" s="124" t="s">
        <v>613</v>
      </c>
      <c r="G137" s="124"/>
      <c r="H137" s="125" t="s">
        <v>258</v>
      </c>
      <c r="I137" s="126" t="s">
        <v>258</v>
      </c>
      <c r="J137" s="125" t="s">
        <v>258</v>
      </c>
      <c r="K137" s="127" t="s">
        <v>258</v>
      </c>
      <c r="L137" s="128" t="s">
        <v>336</v>
      </c>
      <c r="N137" s="93" t="s">
        <v>603</v>
      </c>
      <c r="O137" s="90">
        <f>COUNTIF(I138:K138,"Passed")</f>
        <v>3</v>
      </c>
      <c r="P137" s="90">
        <f>COUNTIF(I138:K138,"Failed")</f>
        <v>0</v>
      </c>
      <c r="Q137" s="90">
        <f>COUNTIF(I138:K138,"In Progress")</f>
        <v>0</v>
      </c>
      <c r="R137" s="90">
        <f>COUNTIF(I138:K138,"Not Started")</f>
        <v>0</v>
      </c>
      <c r="S137" s="90">
        <f>COUNTIF(I138:K138,"Not Applicable")</f>
        <v>0</v>
      </c>
      <c r="T137" s="90">
        <f>SUM(O137:S137)</f>
        <v>3</v>
      </c>
    </row>
    <row r="138" spans="2:24" ht="180.75" thickBot="1">
      <c r="B138" s="129" t="s">
        <v>603</v>
      </c>
      <c r="C138" s="476"/>
      <c r="D138" s="130" t="s">
        <v>604</v>
      </c>
      <c r="E138" s="112" t="s">
        <v>614</v>
      </c>
      <c r="F138" s="112" t="s">
        <v>615</v>
      </c>
      <c r="G138" s="112"/>
      <c r="H138" s="125" t="s">
        <v>258</v>
      </c>
      <c r="I138" s="126" t="s">
        <v>258</v>
      </c>
      <c r="J138" s="125" t="s">
        <v>258</v>
      </c>
      <c r="K138" s="131" t="s">
        <v>258</v>
      </c>
      <c r="L138" s="132" t="s">
        <v>616</v>
      </c>
      <c r="N138" s="93" t="s">
        <v>532</v>
      </c>
      <c r="O138" s="90">
        <f>COUNTIF(I139:K139,"Passed")</f>
        <v>3</v>
      </c>
      <c r="P138" s="90">
        <f>COUNTIF(I139:K139,"Failed")</f>
        <v>0</v>
      </c>
      <c r="Q138" s="90">
        <f>COUNTIF(I139:K139,"In Progress")</f>
        <v>0</v>
      </c>
      <c r="R138" s="90">
        <f>COUNTIF(I139:K139,"Not Started")</f>
        <v>0</v>
      </c>
      <c r="S138" s="90">
        <f>COUNTIF(I139:K139,"Not Applicable")</f>
        <v>0</v>
      </c>
      <c r="T138" s="90">
        <f>SUM(O138:S138)</f>
        <v>3</v>
      </c>
    </row>
    <row r="139" spans="2:24" ht="15.75" thickBot="1">
      <c r="B139" s="129" t="s">
        <v>532</v>
      </c>
      <c r="C139" s="476"/>
      <c r="D139" s="130" t="s">
        <v>581</v>
      </c>
      <c r="E139" s="112" t="s">
        <v>617</v>
      </c>
      <c r="F139" s="112" t="s">
        <v>618</v>
      </c>
      <c r="G139" s="112"/>
      <c r="H139" s="125" t="s">
        <v>258</v>
      </c>
      <c r="I139" s="125" t="s">
        <v>258</v>
      </c>
      <c r="J139" s="125" t="s">
        <v>258</v>
      </c>
      <c r="K139" s="131" t="s">
        <v>258</v>
      </c>
      <c r="L139" s="133"/>
      <c r="N139" s="89" t="s">
        <v>595</v>
      </c>
      <c r="O139" s="90">
        <f>COUNTIF(I140:K143,"Passed")</f>
        <v>12</v>
      </c>
      <c r="P139" s="90">
        <f>COUNTIF(I140:K143,"Failed")</f>
        <v>0</v>
      </c>
      <c r="Q139" s="90">
        <f>COUNTIF(I140:K143,"In Progress")</f>
        <v>0</v>
      </c>
      <c r="R139" s="90">
        <f>COUNTIF(I140:K143,"Not Started")</f>
        <v>0</v>
      </c>
      <c r="S139" s="90">
        <f>COUNTIF(I140:K143,"Not Applicable")</f>
        <v>0</v>
      </c>
      <c r="T139" s="90">
        <f>SUM(O139:S139)</f>
        <v>12</v>
      </c>
    </row>
    <row r="140" spans="2:24">
      <c r="B140" s="819" t="s">
        <v>595</v>
      </c>
      <c r="C140" s="476"/>
      <c r="D140" s="134" t="s">
        <v>619</v>
      </c>
      <c r="E140" s="112" t="s">
        <v>620</v>
      </c>
      <c r="F140" s="112" t="s">
        <v>621</v>
      </c>
      <c r="G140" s="112"/>
      <c r="H140" s="125" t="s">
        <v>258</v>
      </c>
      <c r="I140" s="125" t="s">
        <v>258</v>
      </c>
      <c r="J140" s="125" t="s">
        <v>258</v>
      </c>
      <c r="K140" s="131" t="s">
        <v>258</v>
      </c>
      <c r="L140" s="133"/>
      <c r="N140" s="89"/>
      <c r="O140" s="90"/>
      <c r="P140" s="90"/>
      <c r="Q140" s="90"/>
      <c r="R140" s="90"/>
      <c r="S140" s="90"/>
      <c r="T140" s="90"/>
    </row>
    <row r="141" spans="2:24" ht="15" customHeight="1">
      <c r="B141" s="820"/>
      <c r="C141" s="476"/>
      <c r="D141" s="134" t="s">
        <v>622</v>
      </c>
      <c r="E141" s="112" t="s">
        <v>623</v>
      </c>
      <c r="F141" s="135" t="s">
        <v>336</v>
      </c>
      <c r="G141" s="136"/>
      <c r="H141" s="125" t="s">
        <v>258</v>
      </c>
      <c r="I141" s="126" t="s">
        <v>258</v>
      </c>
      <c r="J141" s="125" t="s">
        <v>258</v>
      </c>
      <c r="K141" s="131" t="s">
        <v>258</v>
      </c>
      <c r="L141" s="137" t="s">
        <v>336</v>
      </c>
      <c r="N141" s="89"/>
      <c r="O141" s="90"/>
      <c r="P141" s="90"/>
      <c r="Q141" s="90"/>
      <c r="R141" s="90"/>
      <c r="S141" s="90"/>
      <c r="T141" s="90"/>
    </row>
    <row r="142" spans="2:24" ht="15.75" thickBot="1">
      <c r="B142" s="821"/>
      <c r="C142" s="129"/>
      <c r="D142" s="138" t="s">
        <v>624</v>
      </c>
      <c r="E142" s="135" t="s">
        <v>336</v>
      </c>
      <c r="F142" s="112" t="s">
        <v>625</v>
      </c>
      <c r="G142" s="139"/>
      <c r="H142" s="125" t="s">
        <v>258</v>
      </c>
      <c r="I142" s="126" t="s">
        <v>258</v>
      </c>
      <c r="J142" s="125" t="s">
        <v>258</v>
      </c>
      <c r="K142" s="131" t="s">
        <v>258</v>
      </c>
      <c r="L142" s="137"/>
      <c r="N142" s="94"/>
    </row>
    <row r="143" spans="2:24" ht="15.75" thickBot="1">
      <c r="B143" s="122" t="s">
        <v>626</v>
      </c>
      <c r="C143" s="129"/>
      <c r="D143" s="140" t="s">
        <v>596</v>
      </c>
      <c r="E143" s="141" t="s">
        <v>627</v>
      </c>
      <c r="F143" s="141" t="s">
        <v>628</v>
      </c>
      <c r="G143" s="141"/>
      <c r="H143" s="125" t="s">
        <v>258</v>
      </c>
      <c r="I143" s="126" t="s">
        <v>258</v>
      </c>
      <c r="J143" s="125" t="s">
        <v>258</v>
      </c>
      <c r="K143" s="131" t="s">
        <v>258</v>
      </c>
      <c r="L143" s="142"/>
      <c r="N143" s="94"/>
      <c r="O143" s="95" t="s">
        <v>258</v>
      </c>
      <c r="P143" s="95" t="s">
        <v>259</v>
      </c>
      <c r="Q143" s="95" t="s">
        <v>260</v>
      </c>
      <c r="R143" s="95" t="s">
        <v>261</v>
      </c>
      <c r="S143" s="95" t="s">
        <v>121</v>
      </c>
      <c r="T143" s="95" t="s">
        <v>262</v>
      </c>
    </row>
    <row r="144" spans="2:24">
      <c r="N144" s="94"/>
      <c r="O144" s="91">
        <f>SUM(O136:O139)</f>
        <v>21</v>
      </c>
      <c r="P144" s="91">
        <f>SUM(P136:P139)</f>
        <v>0</v>
      </c>
      <c r="Q144" s="91">
        <f>SUM(Q136:Q139)</f>
        <v>0</v>
      </c>
      <c r="R144" s="91">
        <f>SUM(R136:R139)</f>
        <v>0</v>
      </c>
      <c r="S144" s="91">
        <f t="shared" ref="S144:T144" si="3">SUM(S136:S141)</f>
        <v>0</v>
      </c>
      <c r="T144" s="91">
        <f t="shared" si="3"/>
        <v>21</v>
      </c>
    </row>
    <row r="145" spans="14:20" ht="15.75" customHeight="1" thickBot="1">
      <c r="N145" s="94"/>
      <c r="O145" s="96" t="s">
        <v>549</v>
      </c>
      <c r="P145" s="96" t="s">
        <v>550</v>
      </c>
      <c r="Q145" s="96" t="s">
        <v>551</v>
      </c>
      <c r="R145" s="96" t="s">
        <v>552</v>
      </c>
      <c r="S145" s="96" t="s">
        <v>553</v>
      </c>
      <c r="T145" s="96" t="s">
        <v>554</v>
      </c>
    </row>
    <row r="146" spans="14:20" ht="15.75" thickBot="1">
      <c r="O146" s="105" t="s">
        <v>521</v>
      </c>
      <c r="P146" s="91">
        <v>11</v>
      </c>
      <c r="Q146" s="91" t="s">
        <v>560</v>
      </c>
      <c r="R146" s="98">
        <v>45440</v>
      </c>
      <c r="S146" s="98" t="s">
        <v>629</v>
      </c>
      <c r="T146" s="91"/>
    </row>
    <row r="201" spans="2:24">
      <c r="B201" s="82" t="s">
        <v>630</v>
      </c>
      <c r="C201" s="82"/>
      <c r="D201" s="83"/>
      <c r="E201" s="83"/>
      <c r="F201" s="83"/>
      <c r="G201" s="83"/>
      <c r="H201" s="83"/>
      <c r="I201" s="83"/>
      <c r="J201" s="83"/>
      <c r="K201" s="83"/>
      <c r="L201" s="83"/>
      <c r="M201" s="83"/>
      <c r="N201" s="83"/>
      <c r="O201" s="83"/>
      <c r="P201" s="83"/>
      <c r="Q201" s="83"/>
      <c r="R201" s="83"/>
      <c r="S201" s="83"/>
      <c r="T201" s="83"/>
      <c r="U201" s="83"/>
      <c r="V201" s="83"/>
      <c r="W201" s="83"/>
      <c r="X201" s="83"/>
    </row>
    <row r="202" spans="2:24" ht="15.75" thickBot="1"/>
    <row r="203" spans="2:24" ht="15.75" thickBot="1">
      <c r="B203" s="143" t="s">
        <v>507</v>
      </c>
      <c r="C203" s="144"/>
      <c r="D203" s="144" t="s">
        <v>361</v>
      </c>
      <c r="E203" s="144" t="s">
        <v>508</v>
      </c>
      <c r="F203" s="145" t="s">
        <v>509</v>
      </c>
      <c r="G203" s="144"/>
      <c r="H203" s="146" t="s">
        <v>105</v>
      </c>
      <c r="I203" s="147" t="s">
        <v>511</v>
      </c>
      <c r="J203" s="147" t="s">
        <v>512</v>
      </c>
      <c r="K203" s="148" t="s">
        <v>513</v>
      </c>
      <c r="L203" s="149" t="s">
        <v>65</v>
      </c>
    </row>
    <row r="204" spans="2:24" ht="15.75" thickBot="1">
      <c r="B204" s="822" t="s">
        <v>611</v>
      </c>
      <c r="C204" s="480"/>
      <c r="D204" s="823" t="s">
        <v>566</v>
      </c>
      <c r="E204" s="151" t="s">
        <v>336</v>
      </c>
      <c r="F204" s="152" t="s">
        <v>631</v>
      </c>
      <c r="G204" s="153"/>
      <c r="H204" s="92" t="s">
        <v>521</v>
      </c>
      <c r="I204" s="92" t="s">
        <v>521</v>
      </c>
      <c r="J204" s="92" t="s">
        <v>521</v>
      </c>
      <c r="K204" s="92" t="s">
        <v>121</v>
      </c>
      <c r="L204" s="154"/>
    </row>
    <row r="205" spans="2:24" ht="15.75" thickBot="1">
      <c r="B205" s="822"/>
      <c r="C205" s="480"/>
      <c r="D205" s="824"/>
      <c r="E205" s="155"/>
      <c r="F205" s="152" t="s">
        <v>632</v>
      </c>
      <c r="G205" s="153"/>
      <c r="H205" s="92" t="s">
        <v>521</v>
      </c>
      <c r="I205" s="92" t="s">
        <v>521</v>
      </c>
      <c r="J205" s="92" t="s">
        <v>521</v>
      </c>
      <c r="K205" s="92" t="s">
        <v>121</v>
      </c>
      <c r="L205" s="154"/>
    </row>
    <row r="206" spans="2:24" ht="15.75" thickBot="1">
      <c r="B206" s="822"/>
      <c r="C206" s="480"/>
      <c r="D206" s="156" t="s">
        <v>633</v>
      </c>
      <c r="E206" s="157" t="s">
        <v>336</v>
      </c>
      <c r="F206" s="152" t="s">
        <v>634</v>
      </c>
      <c r="G206" s="158"/>
      <c r="H206" s="92" t="s">
        <v>521</v>
      </c>
      <c r="I206" s="92" t="s">
        <v>521</v>
      </c>
      <c r="J206" s="92" t="s">
        <v>521</v>
      </c>
      <c r="K206" s="92" t="s">
        <v>121</v>
      </c>
      <c r="L206" s="154"/>
    </row>
    <row r="207" spans="2:24" ht="15.75" thickBot="1">
      <c r="B207" s="822"/>
      <c r="C207" s="480"/>
      <c r="D207" s="156" t="s">
        <v>635</v>
      </c>
      <c r="E207" s="157" t="s">
        <v>336</v>
      </c>
      <c r="F207" s="152" t="s">
        <v>636</v>
      </c>
      <c r="G207" s="158"/>
      <c r="H207" s="92" t="s">
        <v>521</v>
      </c>
      <c r="I207" s="92" t="s">
        <v>521</v>
      </c>
      <c r="J207" s="92" t="s">
        <v>521</v>
      </c>
      <c r="K207" s="92" t="s">
        <v>121</v>
      </c>
      <c r="L207" s="154"/>
    </row>
    <row r="208" spans="2:24" ht="15.75" thickBot="1">
      <c r="B208" s="822" t="s">
        <v>637</v>
      </c>
      <c r="C208" s="480"/>
      <c r="D208" s="156" t="s">
        <v>638</v>
      </c>
      <c r="E208" s="157" t="s">
        <v>336</v>
      </c>
      <c r="F208" s="152" t="s">
        <v>639</v>
      </c>
      <c r="G208" s="158"/>
      <c r="H208" s="92" t="s">
        <v>521</v>
      </c>
      <c r="I208" s="92" t="s">
        <v>521</v>
      </c>
      <c r="J208" s="92" t="s">
        <v>521</v>
      </c>
      <c r="K208" s="92" t="s">
        <v>121</v>
      </c>
      <c r="L208" s="154"/>
    </row>
    <row r="209" spans="2:12" ht="15.75" thickBot="1">
      <c r="B209" s="822"/>
      <c r="C209" s="480"/>
      <c r="D209" s="156" t="s">
        <v>640</v>
      </c>
      <c r="E209" s="157" t="s">
        <v>336</v>
      </c>
      <c r="F209" s="152" t="s">
        <v>641</v>
      </c>
      <c r="G209" s="158"/>
      <c r="H209" s="92" t="s">
        <v>521</v>
      </c>
      <c r="I209" s="92" t="s">
        <v>521</v>
      </c>
      <c r="J209" s="92" t="s">
        <v>521</v>
      </c>
      <c r="K209" s="92" t="s">
        <v>121</v>
      </c>
      <c r="L209" s="154"/>
    </row>
    <row r="210" spans="2:12" ht="15.75" thickBot="1">
      <c r="B210" s="150" t="s">
        <v>642</v>
      </c>
      <c r="C210" s="480"/>
      <c r="D210" s="156" t="s">
        <v>643</v>
      </c>
      <c r="E210" s="159" t="s">
        <v>644</v>
      </c>
      <c r="F210" s="152" t="s">
        <v>645</v>
      </c>
      <c r="G210" s="152"/>
      <c r="H210" s="92" t="s">
        <v>521</v>
      </c>
      <c r="I210" s="92" t="s">
        <v>521</v>
      </c>
      <c r="J210" s="92" t="s">
        <v>521</v>
      </c>
      <c r="K210" s="92" t="s">
        <v>521</v>
      </c>
      <c r="L210" s="154"/>
    </row>
    <row r="211" spans="2:12" ht="15.75" thickBot="1">
      <c r="B211" s="814" t="s">
        <v>595</v>
      </c>
      <c r="C211" s="480"/>
      <c r="D211" s="156" t="s">
        <v>646</v>
      </c>
      <c r="E211" s="159" t="s">
        <v>647</v>
      </c>
      <c r="F211" s="152" t="s">
        <v>648</v>
      </c>
      <c r="G211" s="152"/>
      <c r="H211" s="92" t="s">
        <v>521</v>
      </c>
      <c r="I211" s="92" t="s">
        <v>521</v>
      </c>
      <c r="J211" s="92" t="s">
        <v>521</v>
      </c>
      <c r="K211" s="92" t="s">
        <v>521</v>
      </c>
      <c r="L211" s="160"/>
    </row>
    <row r="212" spans="2:12" ht="15.75" thickBot="1">
      <c r="B212" s="815"/>
      <c r="C212" s="480"/>
      <c r="D212" s="156" t="s">
        <v>649</v>
      </c>
      <c r="E212" s="159" t="s">
        <v>650</v>
      </c>
      <c r="F212" s="152" t="s">
        <v>651</v>
      </c>
      <c r="G212" s="152"/>
      <c r="H212" s="92" t="s">
        <v>521</v>
      </c>
      <c r="I212" s="92" t="s">
        <v>521</v>
      </c>
      <c r="J212" s="92" t="s">
        <v>521</v>
      </c>
      <c r="K212" s="92" t="s">
        <v>521</v>
      </c>
      <c r="L212" s="154"/>
    </row>
    <row r="213" spans="2:12" ht="15.75" thickBot="1">
      <c r="B213" s="815"/>
      <c r="C213" s="480"/>
      <c r="D213" s="156" t="s">
        <v>652</v>
      </c>
      <c r="E213" s="159" t="s">
        <v>653</v>
      </c>
      <c r="F213" s="161" t="s">
        <v>654</v>
      </c>
      <c r="G213" s="152"/>
      <c r="H213" s="92" t="s">
        <v>521</v>
      </c>
      <c r="I213" s="92" t="s">
        <v>521</v>
      </c>
      <c r="J213" s="92" t="s">
        <v>521</v>
      </c>
      <c r="K213" s="92" t="s">
        <v>521</v>
      </c>
      <c r="L213" s="154"/>
    </row>
    <row r="214" spans="2:12" ht="15.75" thickBot="1">
      <c r="B214" s="815"/>
      <c r="C214" s="480"/>
      <c r="D214" s="156" t="s">
        <v>655</v>
      </c>
      <c r="E214" s="159" t="s">
        <v>656</v>
      </c>
      <c r="F214" s="152" t="s">
        <v>657</v>
      </c>
      <c r="G214" s="152"/>
      <c r="H214" s="92" t="s">
        <v>521</v>
      </c>
      <c r="I214" s="92" t="s">
        <v>521</v>
      </c>
      <c r="J214" s="92" t="s">
        <v>521</v>
      </c>
      <c r="K214" s="92" t="s">
        <v>521</v>
      </c>
      <c r="L214" s="162"/>
    </row>
    <row r="215" spans="2:12" ht="15.75" thickBot="1">
      <c r="B215" s="163" t="s">
        <v>658</v>
      </c>
      <c r="C215" s="481"/>
      <c r="D215" s="164" t="s">
        <v>659</v>
      </c>
      <c r="E215" s="165" t="s">
        <v>660</v>
      </c>
      <c r="F215" s="166" t="s">
        <v>661</v>
      </c>
      <c r="G215" s="166"/>
      <c r="H215" s="92" t="s">
        <v>521</v>
      </c>
      <c r="I215" s="92" t="s">
        <v>521</v>
      </c>
      <c r="J215" s="92" t="s">
        <v>521</v>
      </c>
      <c r="K215" s="92" t="s">
        <v>521</v>
      </c>
      <c r="L215" s="167"/>
    </row>
    <row r="218" spans="2:12">
      <c r="B218" s="84" t="s">
        <v>507</v>
      </c>
      <c r="C218" s="84"/>
      <c r="D218" s="84" t="s">
        <v>258</v>
      </c>
      <c r="E218" s="84" t="s">
        <v>259</v>
      </c>
      <c r="F218" s="84" t="s">
        <v>260</v>
      </c>
      <c r="G218" s="84"/>
      <c r="H218" s="84" t="s">
        <v>261</v>
      </c>
      <c r="I218" s="84" t="s">
        <v>121</v>
      </c>
      <c r="J218" s="84" t="s">
        <v>262</v>
      </c>
    </row>
    <row r="219" spans="2:12">
      <c r="B219" s="89" t="s">
        <v>611</v>
      </c>
      <c r="C219" s="89"/>
      <c r="D219" s="90">
        <f>COUNTIF(I204:K207,"Completed")</f>
        <v>8</v>
      </c>
      <c r="E219" s="90">
        <f>COUNTIF(I204:K207,"Failed")</f>
        <v>0</v>
      </c>
      <c r="F219" s="90">
        <f>COUNTIF(I204:K207,"In Progress")</f>
        <v>0</v>
      </c>
      <c r="G219" s="90"/>
      <c r="H219" s="90">
        <f>COUNTIF(I204:K207,"Not Started")</f>
        <v>0</v>
      </c>
      <c r="I219" s="90">
        <f>COUNTIF(I204:K207,"Not Applicable")</f>
        <v>4</v>
      </c>
      <c r="J219" s="90">
        <f>(SUM(D219:I219)-I219)</f>
        <v>8</v>
      </c>
    </row>
    <row r="220" spans="2:12">
      <c r="B220" s="93" t="s">
        <v>637</v>
      </c>
      <c r="C220" s="93"/>
      <c r="D220" s="90">
        <f>COUNTIF(I208:K209,"Completed")</f>
        <v>4</v>
      </c>
      <c r="E220" s="90">
        <f>COUNTIF(I208:K209,"Failed")</f>
        <v>0</v>
      </c>
      <c r="F220" s="90">
        <f>COUNTIF(I208:K209,"In Progress")</f>
        <v>0</v>
      </c>
      <c r="G220" s="90"/>
      <c r="H220" s="90">
        <f>COUNTIF(I208:K209,"Not Started")</f>
        <v>0</v>
      </c>
      <c r="I220" s="90">
        <f>COUNTIF(I208:K209,"Not Applicable")</f>
        <v>2</v>
      </c>
      <c r="J220" s="90">
        <f>(SUM(D220:I220)-I220)</f>
        <v>4</v>
      </c>
    </row>
    <row r="221" spans="2:12">
      <c r="B221" s="93" t="s">
        <v>642</v>
      </c>
      <c r="C221" s="93"/>
      <c r="D221" s="90">
        <f>COUNTIF(I210:K210,"Completed")</f>
        <v>3</v>
      </c>
      <c r="E221" s="90">
        <f>COUNTIF(I210:K210,"Failed")</f>
        <v>0</v>
      </c>
      <c r="F221" s="90">
        <f>COUNTIF(I210:K210,"In Progress")</f>
        <v>0</v>
      </c>
      <c r="G221" s="90"/>
      <c r="H221" s="90">
        <f>COUNTIF(I210:K210,"Not Started")</f>
        <v>0</v>
      </c>
      <c r="I221" s="90">
        <f>COUNTIF(I210:K210,"Not Applicable")</f>
        <v>0</v>
      </c>
      <c r="J221" s="90">
        <f>(SUM(D221:I221)-I221)</f>
        <v>3</v>
      </c>
    </row>
    <row r="222" spans="2:12">
      <c r="B222" s="93" t="s">
        <v>595</v>
      </c>
      <c r="C222" s="93"/>
      <c r="D222" s="90">
        <f>COUNTIF(I211:K214,"Completed")</f>
        <v>12</v>
      </c>
      <c r="E222" s="90">
        <f>COUNTIF(I211:K214,"Failed")</f>
        <v>0</v>
      </c>
      <c r="F222" s="90">
        <f>COUNTIF(I211:K214,"In Progress")</f>
        <v>0</v>
      </c>
      <c r="G222" s="90"/>
      <c r="H222" s="90">
        <f>COUNTIF(I211:K214,"Not Started")</f>
        <v>0</v>
      </c>
      <c r="I222" s="90">
        <f>COUNTIF(I211:K214,"Not Applicable")</f>
        <v>0</v>
      </c>
      <c r="J222" s="90">
        <f>(SUM(D222:I222)-I222)</f>
        <v>12</v>
      </c>
    </row>
    <row r="223" spans="2:12">
      <c r="B223" s="89" t="s">
        <v>658</v>
      </c>
      <c r="C223" s="89"/>
      <c r="D223" s="90">
        <f>COUNTIF(I215:K215,"Completed")</f>
        <v>3</v>
      </c>
      <c r="E223" s="90">
        <f>COUNTIF(I215:K215,"Failed")</f>
        <v>0</v>
      </c>
      <c r="F223" s="90">
        <f>COUNTIF(I215:K215,"In Progress")</f>
        <v>0</v>
      </c>
      <c r="G223" s="90"/>
      <c r="H223" s="90">
        <f>COUNTIF(I215:K215,"Not Started")</f>
        <v>0</v>
      </c>
      <c r="I223" s="90">
        <f>COUNTIF(I215:K215,"Not Applicable")</f>
        <v>0</v>
      </c>
      <c r="J223" s="90">
        <f>(SUM(D223:I223)-I223)</f>
        <v>3</v>
      </c>
    </row>
    <row r="224" spans="2:12" hidden="1">
      <c r="B224" s="89"/>
      <c r="C224" s="89"/>
      <c r="D224" s="90"/>
      <c r="E224" s="90"/>
      <c r="F224" s="90"/>
      <c r="G224" s="90"/>
      <c r="H224" s="90"/>
      <c r="I224" s="90"/>
      <c r="J224" s="90"/>
    </row>
    <row r="225" spans="2:10" hidden="1">
      <c r="B225" s="89"/>
      <c r="C225" s="89"/>
      <c r="D225" s="90"/>
      <c r="E225" s="90"/>
      <c r="F225" s="90"/>
      <c r="G225" s="90"/>
      <c r="H225" s="90"/>
      <c r="I225" s="90"/>
      <c r="J225" s="90"/>
    </row>
    <row r="226" spans="2:10">
      <c r="B226" s="94"/>
      <c r="C226" s="94"/>
    </row>
    <row r="227" spans="2:10">
      <c r="B227" s="94"/>
      <c r="C227" s="94"/>
      <c r="D227" s="95" t="s">
        <v>258</v>
      </c>
      <c r="E227" s="95" t="s">
        <v>259</v>
      </c>
      <c r="F227" s="95" t="s">
        <v>260</v>
      </c>
      <c r="G227" s="95"/>
      <c r="H227" s="95" t="s">
        <v>261</v>
      </c>
      <c r="I227" s="95" t="s">
        <v>121</v>
      </c>
      <c r="J227" s="95" t="s">
        <v>262</v>
      </c>
    </row>
    <row r="228" spans="2:10">
      <c r="B228" s="94"/>
      <c r="C228" s="94"/>
      <c r="D228" s="91">
        <f>SUM(D219:D223)</f>
        <v>30</v>
      </c>
      <c r="E228" s="91">
        <f>SUM(E219:E223)</f>
        <v>0</v>
      </c>
      <c r="F228" s="91">
        <f>SUM(F219:F223)</f>
        <v>0</v>
      </c>
      <c r="G228" s="91"/>
      <c r="H228" s="91">
        <f>SUM(H219:H223)</f>
        <v>0</v>
      </c>
      <c r="I228" s="91">
        <f t="shared" ref="I228:J228" si="4">SUM(I219:I225)</f>
        <v>6</v>
      </c>
      <c r="J228" s="91">
        <f t="shared" si="4"/>
        <v>30</v>
      </c>
    </row>
    <row r="229" spans="2:10" ht="15.75" thickBot="1">
      <c r="B229" s="94"/>
      <c r="C229" s="94"/>
      <c r="D229" s="96" t="s">
        <v>549</v>
      </c>
      <c r="E229" s="96" t="s">
        <v>550</v>
      </c>
      <c r="F229" s="96" t="s">
        <v>551</v>
      </c>
      <c r="G229" s="96"/>
      <c r="H229" s="96" t="s">
        <v>552</v>
      </c>
      <c r="I229" s="96" t="s">
        <v>553</v>
      </c>
      <c r="J229" s="96" t="s">
        <v>554</v>
      </c>
    </row>
    <row r="230" spans="2:10" ht="15.75" thickBot="1">
      <c r="D230" s="92" t="s">
        <v>521</v>
      </c>
      <c r="E230" s="91">
        <v>14</v>
      </c>
      <c r="F230" s="91" t="s">
        <v>560</v>
      </c>
      <c r="G230" s="91"/>
      <c r="H230" s="98">
        <v>45531</v>
      </c>
      <c r="I230" s="98">
        <v>45533</v>
      </c>
      <c r="J230" s="91"/>
    </row>
  </sheetData>
  <mergeCells count="12">
    <mergeCell ref="B211:B214"/>
    <mergeCell ref="A3:B3"/>
    <mergeCell ref="A4:A9"/>
    <mergeCell ref="A10:A12"/>
    <mergeCell ref="D79:D80"/>
    <mergeCell ref="B83:B88"/>
    <mergeCell ref="B89:B91"/>
    <mergeCell ref="B92:B93"/>
    <mergeCell ref="B140:B142"/>
    <mergeCell ref="B204:B207"/>
    <mergeCell ref="D204:D205"/>
    <mergeCell ref="B208:B209"/>
  </mergeCells>
  <conditionalFormatting sqref="H4:K12 D230">
    <cfRule type="containsText" dxfId="62" priority="28" operator="containsText" text="Not Applicable">
      <formula>NOT(ISERROR(SEARCH("Not Applicable",D4)))</formula>
    </cfRule>
    <cfRule type="containsText" dxfId="61" priority="29" operator="containsText" text="Failed">
      <formula>NOT(ISERROR(SEARCH("Failed",D4)))</formula>
    </cfRule>
    <cfRule type="containsText" dxfId="60" priority="30" operator="containsText" text="Failed">
      <formula>NOT(ISERROR(SEARCH("Failed",D4)))</formula>
    </cfRule>
    <cfRule type="containsText" dxfId="59" priority="31" operator="containsText" text="In Progress">
      <formula>NOT(ISERROR(SEARCH("In Progress",D4)))</formula>
    </cfRule>
    <cfRule type="containsText" dxfId="58" priority="32" operator="containsText" text="Completed">
      <formula>NOT(ISERROR(SEARCH("Completed",D4)))</formula>
    </cfRule>
    <cfRule type="containsText" dxfId="57" priority="33" operator="containsText" text="Not Started">
      <formula>NOT(ISERROR(SEARCH("Not Started",D4)))</formula>
    </cfRule>
    <cfRule type="cellIs" dxfId="56" priority="34" operator="equal">
      <formula>$I$4</formula>
    </cfRule>
  </conditionalFormatting>
  <conditionalFormatting sqref="H137:K143">
    <cfRule type="cellIs" dxfId="55" priority="15" operator="equal">
      <formula>"Not Started"</formula>
    </cfRule>
    <cfRule type="cellIs" dxfId="54" priority="16" operator="equal">
      <formula>"Not Applicable"</formula>
    </cfRule>
    <cfRule type="cellIs" dxfId="53" priority="17" operator="equal">
      <formula>"In Progress"</formula>
    </cfRule>
    <cfRule type="cellIs" dxfId="52" priority="18" operator="equal">
      <formula>"Failed"</formula>
    </cfRule>
    <cfRule type="cellIs" dxfId="51" priority="19" operator="equal">
      <formula>"Passed"</formula>
    </cfRule>
    <cfRule type="cellIs" dxfId="50" priority="20" operator="equal">
      <formula>"Not Applicable"</formula>
    </cfRule>
  </conditionalFormatting>
  <conditionalFormatting sqref="H204:K215">
    <cfRule type="containsText" dxfId="49" priority="1" operator="containsText" text="Not Applicable">
      <formula>NOT(ISERROR(SEARCH("Not Applicable",H204)))</formula>
    </cfRule>
    <cfRule type="containsText" dxfId="48" priority="2" operator="containsText" text="Failed">
      <formula>NOT(ISERROR(SEARCH("Failed",H204)))</formula>
    </cfRule>
    <cfRule type="containsText" dxfId="47" priority="3" operator="containsText" text="Failed">
      <formula>NOT(ISERROR(SEARCH("Failed",H204)))</formula>
    </cfRule>
    <cfRule type="containsText" dxfId="46" priority="4" operator="containsText" text="In Progress">
      <formula>NOT(ISERROR(SEARCH("In Progress",H204)))</formula>
    </cfRule>
    <cfRule type="containsText" dxfId="45" priority="5" operator="containsText" text="Completed">
      <formula>NOT(ISERROR(SEARCH("Completed",H204)))</formula>
    </cfRule>
    <cfRule type="containsText" dxfId="44" priority="6" operator="containsText" text="Not Started">
      <formula>NOT(ISERROR(SEARCH("Not Started",H204)))</formula>
    </cfRule>
    <cfRule type="cellIs" dxfId="43" priority="7" operator="equal">
      <formula>$I$4</formula>
    </cfRule>
  </conditionalFormatting>
  <conditionalFormatting sqref="L9">
    <cfRule type="containsText" dxfId="42" priority="35" operator="containsText" text="Not Applicable">
      <formula>NOT(ISERROR(SEARCH("Not Applicable",L9)))</formula>
    </cfRule>
    <cfRule type="containsText" dxfId="41" priority="36" operator="containsText" text="Failed">
      <formula>NOT(ISERROR(SEARCH("Failed",L9)))</formula>
    </cfRule>
    <cfRule type="containsText" dxfId="40" priority="37" operator="containsText" text="Failed">
      <formula>NOT(ISERROR(SEARCH("Failed",L9)))</formula>
    </cfRule>
    <cfRule type="containsText" dxfId="39" priority="38" operator="containsText" text="In Progress">
      <formula>NOT(ISERROR(SEARCH("In Progress",L9)))</formula>
    </cfRule>
    <cfRule type="containsText" dxfId="38" priority="39" operator="containsText" text="Completed">
      <formula>NOT(ISERROR(SEARCH("Completed",L9)))</formula>
    </cfRule>
    <cfRule type="containsText" dxfId="37" priority="40" operator="containsText" text="Not Started">
      <formula>NOT(ISERROR(SEARCH("Not Started",L9)))</formula>
    </cfRule>
    <cfRule type="cellIs" dxfId="36" priority="41" operator="equal">
      <formula>$I$4</formula>
    </cfRule>
  </conditionalFormatting>
  <conditionalFormatting sqref="L211">
    <cfRule type="containsText" dxfId="35" priority="8" operator="containsText" text="Not Applicable">
      <formula>NOT(ISERROR(SEARCH("Not Applicable",L211)))</formula>
    </cfRule>
    <cfRule type="containsText" dxfId="34" priority="9" operator="containsText" text="Failed">
      <formula>NOT(ISERROR(SEARCH("Failed",L211)))</formula>
    </cfRule>
    <cfRule type="containsText" dxfId="33" priority="10" operator="containsText" text="Failed">
      <formula>NOT(ISERROR(SEARCH("Failed",L211)))</formula>
    </cfRule>
    <cfRule type="containsText" dxfId="32" priority="11" operator="containsText" text="In Progress">
      <formula>NOT(ISERROR(SEARCH("In Progress",L211)))</formula>
    </cfRule>
    <cfRule type="containsText" dxfId="31" priority="12" operator="containsText" text="Completed">
      <formula>NOT(ISERROR(SEARCH("Completed",L211)))</formula>
    </cfRule>
    <cfRule type="containsText" dxfId="30" priority="13" operator="containsText" text="Not Started">
      <formula>NOT(ISERROR(SEARCH("Not Started",L211)))</formula>
    </cfRule>
    <cfRule type="cellIs" dxfId="29" priority="14" operator="equal">
      <formula>$I$4</formula>
    </cfRule>
  </conditionalFormatting>
  <conditionalFormatting sqref="O11">
    <cfRule type="containsText" dxfId="28" priority="21" operator="containsText" text="Not Applicable">
      <formula>NOT(ISERROR(SEARCH("Not Applicable",O11)))</formula>
    </cfRule>
    <cfRule type="containsText" dxfId="27" priority="22" operator="containsText" text="Failed">
      <formula>NOT(ISERROR(SEARCH("Failed",O11)))</formula>
    </cfRule>
    <cfRule type="containsText" dxfId="26" priority="23" operator="containsText" text="Failed">
      <formula>NOT(ISERROR(SEARCH("Failed",O11)))</formula>
    </cfRule>
    <cfRule type="containsText" dxfId="25" priority="24" operator="containsText" text="In Progress">
      <formula>NOT(ISERROR(SEARCH("In Progress",O11)))</formula>
    </cfRule>
    <cfRule type="containsText" dxfId="24" priority="25" operator="containsText" text="Completed">
      <formula>NOT(ISERROR(SEARCH("Completed",O11)))</formula>
    </cfRule>
    <cfRule type="containsText" dxfId="23" priority="26" operator="containsText" text="Not Started">
      <formula>NOT(ISERROR(SEARCH("Not Started",O11)))</formula>
    </cfRule>
    <cfRule type="cellIs" dxfId="22" priority="27" operator="equal">
      <formula>$I$4</formula>
    </cfRule>
  </conditionalFormatting>
  <dataValidations count="2">
    <dataValidation type="list" allowBlank="1" showInputMessage="1" showErrorMessage="1" sqref="H137:K143" xr:uid="{836C520F-B4D6-4F16-99EE-663BCFA778ED}">
      <formula1>"Passed,Failed,In Progress,Not Applicable,Not Started"</formula1>
    </dataValidation>
    <dataValidation type="list" allowBlank="1" showInputMessage="1" showErrorMessage="1" sqref="D230 O11 H204:K215 H4:K12" xr:uid="{E9F27624-5F34-4EB4-BF06-D8A419DDB347}">
      <formula1>"Not Started, Completed, In Progress, Failed, Not Applicable"</formula1>
    </dataValidation>
  </dataValidations>
  <hyperlinks>
    <hyperlink ref="D10" r:id="rId1" xr:uid="{24AF9A46-4249-46D8-B8F1-621AD091EF88}"/>
    <hyperlink ref="D11" r:id="rId2" xr:uid="{77E245D4-2675-4BBE-93F5-17CEB9487094}"/>
    <hyperlink ref="D12" r:id="rId3" xr:uid="{64F354A4-2426-476F-8D83-8326907DC386}"/>
    <hyperlink ref="D4" r:id="rId4" xr:uid="{40EF01F4-B2AB-44BA-8741-4297741B6FA8}"/>
    <hyperlink ref="D5" r:id="rId5" xr:uid="{F0ADC3E0-2381-4566-8DB2-29F99EDD4C0B}"/>
    <hyperlink ref="D6" r:id="rId6" xr:uid="{6F6F120B-C5FB-4B0C-B5D3-77C4475B0A8E}"/>
    <hyperlink ref="D7" r:id="rId7" xr:uid="{B48E993E-5730-40FA-89E3-197FDE9ADFD9}"/>
    <hyperlink ref="D8" r:id="rId8" xr:uid="{33938FB8-7C5D-4AF8-B06E-33A66E6B42BA}"/>
    <hyperlink ref="D9" r:id="rId9" xr:uid="{E356577C-6B1C-4A61-BC6D-2D4D750C44B8}"/>
  </hyperlinks>
  <pageMargins left="0.7" right="0.7" top="0.75" bottom="0.75" header="0.3" footer="0.3"/>
  <pageSetup orientation="portrait" r:id="rId10"/>
  <drawing r:id="rId11"/>
  <legacyDrawing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B0324-3B88-40CB-B6D4-4356D0A2F23C}">
  <sheetPr codeName="Sheet8">
    <tabColor rgb="FFFF05E6"/>
  </sheetPr>
  <dimension ref="A1:T76"/>
  <sheetViews>
    <sheetView showGridLines="0" zoomScale="80" zoomScaleNormal="80" workbookViewId="0">
      <selection activeCell="C57" sqref="C57"/>
    </sheetView>
  </sheetViews>
  <sheetFormatPr defaultRowHeight="15"/>
  <cols>
    <col min="1" max="1" width="18.5703125" customWidth="1"/>
    <col min="2" max="2" width="34" customWidth="1"/>
    <col min="3" max="3" width="14" customWidth="1"/>
    <col min="4" max="4" width="15.42578125" customWidth="1"/>
    <col min="5" max="5" width="18.42578125" customWidth="1"/>
    <col min="6" max="6" width="11.140625" bestFit="1" customWidth="1"/>
    <col min="12" max="12" width="15" customWidth="1"/>
    <col min="13" max="13" width="15.7109375" customWidth="1"/>
    <col min="14" max="14" width="17.42578125" customWidth="1"/>
    <col min="15" max="15" width="19" customWidth="1"/>
    <col min="16" max="16" width="18.140625" customWidth="1"/>
    <col min="17" max="17" width="19.140625" customWidth="1"/>
    <col min="18" max="18" width="15.28515625" customWidth="1"/>
    <col min="19" max="19" width="20.7109375" customWidth="1"/>
    <col min="20" max="20" width="12.7109375" bestFit="1" customWidth="1"/>
  </cols>
  <sheetData>
    <row r="1" spans="1:20" ht="14.45" customHeight="1">
      <c r="A1" s="168" t="s">
        <v>662</v>
      </c>
      <c r="B1" s="825" t="s">
        <v>47</v>
      </c>
      <c r="C1" s="825" t="s">
        <v>663</v>
      </c>
      <c r="D1" s="828"/>
      <c r="E1" s="828"/>
      <c r="F1" s="828"/>
      <c r="G1" s="828"/>
      <c r="H1" s="828"/>
      <c r="I1" s="829"/>
      <c r="J1" s="168" t="s">
        <v>664</v>
      </c>
      <c r="K1" s="830" t="s">
        <v>665</v>
      </c>
      <c r="L1" s="169" t="s">
        <v>552</v>
      </c>
      <c r="M1" s="169" t="s">
        <v>666</v>
      </c>
      <c r="N1" s="169" t="s">
        <v>552</v>
      </c>
      <c r="O1" s="169" t="s">
        <v>666</v>
      </c>
      <c r="P1" s="169" t="s">
        <v>552</v>
      </c>
      <c r="Q1" s="169" t="s">
        <v>666</v>
      </c>
      <c r="R1" s="830" t="s">
        <v>105</v>
      </c>
      <c r="S1" s="830" t="s">
        <v>667</v>
      </c>
      <c r="T1" s="170"/>
    </row>
    <row r="2" spans="1:20" ht="14.45" customHeight="1">
      <c r="A2" s="171" t="s">
        <v>668</v>
      </c>
      <c r="B2" s="826"/>
      <c r="C2" s="172"/>
      <c r="D2" s="833" t="s">
        <v>669</v>
      </c>
      <c r="E2" s="834"/>
      <c r="F2" s="834"/>
      <c r="G2" s="834"/>
      <c r="H2" s="834"/>
      <c r="I2" s="173"/>
      <c r="J2" s="174" t="s">
        <v>670</v>
      </c>
      <c r="K2" s="831"/>
      <c r="L2" s="328"/>
      <c r="M2" s="328"/>
      <c r="N2" s="169"/>
      <c r="O2" s="169"/>
      <c r="P2" s="169"/>
      <c r="Q2" s="169"/>
      <c r="R2" s="831"/>
      <c r="S2" s="831"/>
      <c r="T2" s="170"/>
    </row>
    <row r="3" spans="1:20" ht="21" customHeight="1">
      <c r="A3" s="175"/>
      <c r="B3" s="827"/>
      <c r="C3" s="176" t="s">
        <v>671</v>
      </c>
      <c r="D3" s="177" t="s">
        <v>672</v>
      </c>
      <c r="E3" s="177" t="s">
        <v>673</v>
      </c>
      <c r="F3" s="177" t="s">
        <v>674</v>
      </c>
      <c r="G3" s="177" t="s">
        <v>675</v>
      </c>
      <c r="H3" s="177" t="s">
        <v>676</v>
      </c>
      <c r="I3" s="178" t="s">
        <v>677</v>
      </c>
      <c r="J3" s="179"/>
      <c r="K3" s="831"/>
      <c r="L3" s="180" t="s">
        <v>678</v>
      </c>
      <c r="M3" s="180" t="s">
        <v>678</v>
      </c>
      <c r="N3" s="180" t="s">
        <v>679</v>
      </c>
      <c r="O3" s="180" t="s">
        <v>679</v>
      </c>
      <c r="P3" s="180" t="s">
        <v>516</v>
      </c>
      <c r="Q3" s="180" t="s">
        <v>516</v>
      </c>
      <c r="R3" s="831"/>
      <c r="S3" s="832"/>
      <c r="T3" s="181"/>
    </row>
    <row r="4" spans="1:20" hidden="1">
      <c r="A4" s="182" t="s">
        <v>680</v>
      </c>
      <c r="B4" s="182" t="s">
        <v>681</v>
      </c>
      <c r="C4" s="182"/>
      <c r="D4" s="182"/>
      <c r="E4" s="182"/>
      <c r="F4" s="182"/>
      <c r="G4" s="182" t="s">
        <v>682</v>
      </c>
      <c r="H4" s="182"/>
      <c r="I4" s="182"/>
      <c r="J4" s="183" t="s">
        <v>683</v>
      </c>
      <c r="K4" s="341"/>
      <c r="L4" s="54"/>
      <c r="M4" s="54"/>
      <c r="N4" s="185">
        <v>45481</v>
      </c>
      <c r="O4" s="185">
        <v>45482.21597222222</v>
      </c>
      <c r="P4" s="186">
        <f t="shared" ref="P4:P13" si="0">IF(N4="","",N4+ 11.5/24)</f>
        <v>45481.479166666664</v>
      </c>
      <c r="Q4" s="187">
        <f t="shared" ref="Q4:Q13" si="1">IF(O4="","",O4+ 10.5/24)</f>
        <v>45482.65347222222</v>
      </c>
      <c r="R4" s="59" t="s">
        <v>521</v>
      </c>
      <c r="S4" s="188"/>
      <c r="T4" s="189"/>
    </row>
    <row r="5" spans="1:20" hidden="1">
      <c r="A5" s="182" t="s">
        <v>680</v>
      </c>
      <c r="B5" s="182" t="s">
        <v>684</v>
      </c>
      <c r="C5" s="182"/>
      <c r="D5" s="182"/>
      <c r="E5" s="182"/>
      <c r="F5" s="182"/>
      <c r="G5" s="182" t="s">
        <v>682</v>
      </c>
      <c r="H5" s="182"/>
      <c r="I5" s="182"/>
      <c r="J5" s="183" t="s">
        <v>683</v>
      </c>
      <c r="K5" s="341"/>
      <c r="L5" s="54"/>
      <c r="M5" s="54"/>
      <c r="N5" s="185">
        <v>45488</v>
      </c>
      <c r="O5" s="185">
        <v>45488.21597222222</v>
      </c>
      <c r="P5" s="186">
        <f t="shared" si="0"/>
        <v>45488.479166666664</v>
      </c>
      <c r="Q5" s="187">
        <f t="shared" si="1"/>
        <v>45488.65347222222</v>
      </c>
      <c r="R5" s="59" t="s">
        <v>521</v>
      </c>
      <c r="S5" s="190"/>
      <c r="T5" s="189"/>
    </row>
    <row r="6" spans="1:20" hidden="1">
      <c r="A6" s="182" t="s">
        <v>680</v>
      </c>
      <c r="B6" s="182" t="s">
        <v>685</v>
      </c>
      <c r="C6" s="182"/>
      <c r="D6" s="182"/>
      <c r="E6" s="182"/>
      <c r="F6" s="182"/>
      <c r="G6" s="182" t="s">
        <v>682</v>
      </c>
      <c r="H6" s="182"/>
      <c r="I6" s="182"/>
      <c r="J6" s="183" t="s">
        <v>683</v>
      </c>
      <c r="K6" s="341"/>
      <c r="L6" s="54"/>
      <c r="M6" s="54"/>
      <c r="N6" s="185">
        <v>45495</v>
      </c>
      <c r="O6" s="185">
        <v>45495.21597222222</v>
      </c>
      <c r="P6" s="186">
        <f t="shared" si="0"/>
        <v>45495.479166666664</v>
      </c>
      <c r="Q6" s="187">
        <f t="shared" si="1"/>
        <v>45495.65347222222</v>
      </c>
      <c r="R6" s="59" t="s">
        <v>521</v>
      </c>
      <c r="S6" s="190"/>
      <c r="T6" s="189"/>
    </row>
    <row r="7" spans="1:20" hidden="1">
      <c r="A7" s="182" t="s">
        <v>680</v>
      </c>
      <c r="B7" s="182" t="s">
        <v>686</v>
      </c>
      <c r="C7" s="182"/>
      <c r="D7" s="182"/>
      <c r="E7" s="182"/>
      <c r="F7" s="182"/>
      <c r="G7" s="182" t="s">
        <v>682</v>
      </c>
      <c r="H7" s="182"/>
      <c r="I7" s="182"/>
      <c r="J7" s="183" t="s">
        <v>683</v>
      </c>
      <c r="K7" s="341"/>
      <c r="L7" s="54"/>
      <c r="M7" s="54"/>
      <c r="N7" s="185">
        <v>45502</v>
      </c>
      <c r="O7" s="185">
        <v>45502.21597222222</v>
      </c>
      <c r="P7" s="186">
        <f t="shared" si="0"/>
        <v>45502.479166666664</v>
      </c>
      <c r="Q7" s="187">
        <f t="shared" si="1"/>
        <v>45502.65347222222</v>
      </c>
      <c r="R7" s="59" t="s">
        <v>521</v>
      </c>
      <c r="S7" s="190"/>
      <c r="T7" s="189"/>
    </row>
    <row r="8" spans="1:20" hidden="1">
      <c r="A8" s="182" t="s">
        <v>680</v>
      </c>
      <c r="B8" s="182" t="s">
        <v>687</v>
      </c>
      <c r="C8" s="182"/>
      <c r="D8" s="182"/>
      <c r="E8" s="182"/>
      <c r="F8" s="182"/>
      <c r="G8" s="182" t="s">
        <v>682</v>
      </c>
      <c r="H8" s="182"/>
      <c r="I8" s="182"/>
      <c r="J8" s="183" t="s">
        <v>683</v>
      </c>
      <c r="K8" s="341"/>
      <c r="L8" s="54"/>
      <c r="M8" s="54"/>
      <c r="N8" s="185">
        <v>45509</v>
      </c>
      <c r="O8" s="185">
        <v>45509.21597222222</v>
      </c>
      <c r="P8" s="186">
        <f t="shared" si="0"/>
        <v>45509.479166666664</v>
      </c>
      <c r="Q8" s="187">
        <f t="shared" si="1"/>
        <v>45509.65347222222</v>
      </c>
      <c r="R8" s="59" t="s">
        <v>521</v>
      </c>
      <c r="S8" s="190"/>
      <c r="T8" s="189"/>
    </row>
    <row r="9" spans="1:20" hidden="1">
      <c r="A9" s="182" t="s">
        <v>680</v>
      </c>
      <c r="B9" s="182" t="s">
        <v>688</v>
      </c>
      <c r="C9" s="182"/>
      <c r="D9" s="182"/>
      <c r="E9" s="182"/>
      <c r="F9" s="182"/>
      <c r="G9" s="182" t="s">
        <v>682</v>
      </c>
      <c r="H9" s="182"/>
      <c r="I9" s="182"/>
      <c r="J9" s="183" t="s">
        <v>683</v>
      </c>
      <c r="K9" s="341"/>
      <c r="L9" s="54"/>
      <c r="M9" s="54"/>
      <c r="N9" s="185">
        <v>45481</v>
      </c>
      <c r="O9" s="185">
        <v>45482.21597222222</v>
      </c>
      <c r="P9" s="186">
        <f t="shared" si="0"/>
        <v>45481.479166666664</v>
      </c>
      <c r="Q9" s="187">
        <f t="shared" si="1"/>
        <v>45482.65347222222</v>
      </c>
      <c r="R9" s="59" t="s">
        <v>521</v>
      </c>
      <c r="S9" s="190"/>
      <c r="T9" s="189"/>
    </row>
    <row r="10" spans="1:20" hidden="1">
      <c r="A10" s="182" t="s">
        <v>680</v>
      </c>
      <c r="B10" s="182" t="s">
        <v>689</v>
      </c>
      <c r="C10" s="182"/>
      <c r="D10" s="182"/>
      <c r="E10" s="182"/>
      <c r="F10" s="182"/>
      <c r="G10" s="182" t="s">
        <v>682</v>
      </c>
      <c r="H10" s="182"/>
      <c r="I10" s="182"/>
      <c r="J10" s="183" t="s">
        <v>683</v>
      </c>
      <c r="K10" s="341"/>
      <c r="L10" s="54"/>
      <c r="M10" s="54"/>
      <c r="N10" s="185">
        <v>45516</v>
      </c>
      <c r="O10" s="185">
        <v>45516.21597222222</v>
      </c>
      <c r="P10" s="186">
        <f t="shared" si="0"/>
        <v>45516.479166666664</v>
      </c>
      <c r="Q10" s="187">
        <f t="shared" si="1"/>
        <v>45516.65347222222</v>
      </c>
      <c r="R10" s="59" t="s">
        <v>521</v>
      </c>
      <c r="S10" s="190"/>
      <c r="T10" s="189"/>
    </row>
    <row r="11" spans="1:20" hidden="1">
      <c r="A11" s="182" t="s">
        <v>680</v>
      </c>
      <c r="B11" s="182" t="s">
        <v>690</v>
      </c>
      <c r="C11" s="182"/>
      <c r="D11" s="182" t="s">
        <v>682</v>
      </c>
      <c r="E11" s="182"/>
      <c r="F11" s="182"/>
      <c r="G11" s="182"/>
      <c r="H11" s="182"/>
      <c r="I11" s="182"/>
      <c r="J11" s="183" t="s">
        <v>683</v>
      </c>
      <c r="K11" s="341"/>
      <c r="L11" s="182"/>
      <c r="M11" s="182"/>
      <c r="N11" s="185">
        <v>45530</v>
      </c>
      <c r="O11" s="185">
        <v>45530.21597222222</v>
      </c>
      <c r="P11" s="186">
        <f t="shared" si="0"/>
        <v>45530.479166666664</v>
      </c>
      <c r="Q11" s="187">
        <f t="shared" si="1"/>
        <v>45530.65347222222</v>
      </c>
      <c r="R11" s="59" t="s">
        <v>521</v>
      </c>
      <c r="S11" s="190"/>
      <c r="T11" s="189"/>
    </row>
    <row r="12" spans="1:20" hidden="1">
      <c r="A12" s="182" t="s">
        <v>680</v>
      </c>
      <c r="B12" s="182" t="s">
        <v>691</v>
      </c>
      <c r="C12" s="182"/>
      <c r="D12" s="182" t="s">
        <v>682</v>
      </c>
      <c r="E12" s="182"/>
      <c r="F12" s="182"/>
      <c r="G12" s="182"/>
      <c r="H12" s="182"/>
      <c r="I12" s="182"/>
      <c r="J12" s="183" t="s">
        <v>683</v>
      </c>
      <c r="K12" s="182"/>
      <c r="L12" s="342"/>
      <c r="M12" s="342"/>
      <c r="N12" s="184">
        <v>45540</v>
      </c>
      <c r="O12" s="185">
        <v>45540.21597222222</v>
      </c>
      <c r="P12" s="186">
        <f t="shared" si="0"/>
        <v>45540.479166666664</v>
      </c>
      <c r="Q12" s="187">
        <f t="shared" si="1"/>
        <v>45540.65347222222</v>
      </c>
      <c r="R12" s="59" t="s">
        <v>521</v>
      </c>
      <c r="S12" s="190"/>
      <c r="T12" s="189"/>
    </row>
    <row r="13" spans="1:20" hidden="1">
      <c r="A13" s="340" t="s">
        <v>680</v>
      </c>
      <c r="B13" s="340" t="s">
        <v>692</v>
      </c>
      <c r="C13" s="340" t="s">
        <v>682</v>
      </c>
      <c r="D13" s="340"/>
      <c r="E13" s="340"/>
      <c r="F13" s="340"/>
      <c r="G13" s="340"/>
      <c r="H13" s="340"/>
      <c r="I13" s="340"/>
      <c r="J13" s="344" t="s">
        <v>683</v>
      </c>
      <c r="K13" s="340"/>
      <c r="L13" s="360"/>
      <c r="M13" s="360"/>
      <c r="N13" s="351">
        <v>45551</v>
      </c>
      <c r="O13" s="352">
        <v>45551.21597222222</v>
      </c>
      <c r="P13" s="353">
        <f t="shared" si="0"/>
        <v>45551.479166666664</v>
      </c>
      <c r="Q13" s="354">
        <f t="shared" si="1"/>
        <v>45551.65347222222</v>
      </c>
      <c r="R13" s="355" t="s">
        <v>261</v>
      </c>
      <c r="S13" s="356"/>
    </row>
    <row r="14" spans="1:20" s="338" customFormat="1" ht="12.75" hidden="1">
      <c r="A14" s="346"/>
      <c r="B14" s="346"/>
      <c r="C14" s="346"/>
      <c r="D14" s="346"/>
      <c r="E14" s="346"/>
      <c r="F14" s="346"/>
      <c r="G14" s="346"/>
      <c r="H14" s="346"/>
      <c r="I14" s="346"/>
      <c r="J14" s="347"/>
      <c r="K14" s="348"/>
      <c r="L14" s="343"/>
      <c r="M14" s="343"/>
      <c r="N14" s="373"/>
      <c r="O14" s="373"/>
      <c r="P14" s="374"/>
      <c r="Q14" s="375"/>
      <c r="R14" s="346"/>
      <c r="S14" s="340"/>
    </row>
    <row r="15" spans="1:20" s="339" customFormat="1" ht="12.75">
      <c r="A15" s="361" t="s">
        <v>693</v>
      </c>
      <c r="B15" s="182" t="s">
        <v>694</v>
      </c>
      <c r="C15" s="345"/>
      <c r="G15" s="182" t="s">
        <v>682</v>
      </c>
      <c r="H15" s="182"/>
      <c r="I15" s="182"/>
      <c r="J15" s="183" t="s">
        <v>683</v>
      </c>
      <c r="K15" s="349"/>
      <c r="L15" s="376">
        <v>46118.59375</v>
      </c>
      <c r="M15" s="376">
        <v>46118.809027777781</v>
      </c>
      <c r="N15" s="377">
        <v>46118.052083333336</v>
      </c>
      <c r="O15" s="377">
        <v>46118.267361111109</v>
      </c>
      <c r="P15" s="378">
        <f>IF(N15="","",N15+ 10.5/24)</f>
        <v>46118.489583333336</v>
      </c>
      <c r="Q15" s="187">
        <f>IF(O15="","",O15+ 10.5/24)</f>
        <v>46118.704861111109</v>
      </c>
      <c r="R15" s="359" t="s">
        <v>521</v>
      </c>
    </row>
    <row r="16" spans="1:20" s="339" customFormat="1" ht="12.75">
      <c r="A16" s="361" t="s">
        <v>693</v>
      </c>
      <c r="B16" s="182" t="s">
        <v>694</v>
      </c>
      <c r="C16" s="345"/>
      <c r="G16" s="182" t="s">
        <v>682</v>
      </c>
      <c r="J16" s="183" t="s">
        <v>683</v>
      </c>
      <c r="L16" s="379">
        <v>46132.604166666664</v>
      </c>
      <c r="M16" s="379">
        <v>46132.770833333336</v>
      </c>
      <c r="N16" s="377">
        <v>46132.020833333336</v>
      </c>
      <c r="O16" s="377">
        <v>46132.229166666664</v>
      </c>
      <c r="P16" s="187">
        <f t="shared" ref="P16:P22" si="2">IF(N16="","",N16+ 11.5/24)</f>
        <v>46132.5</v>
      </c>
      <c r="Q16" s="187">
        <f t="shared" ref="Q16:Q22" si="3">IF(O16="","",O16+ 10.5/24)</f>
        <v>46132.666666666664</v>
      </c>
      <c r="R16" s="339" t="s">
        <v>261</v>
      </c>
    </row>
    <row r="17" spans="1:18" s="339" customFormat="1" ht="12.75">
      <c r="A17" s="361" t="s">
        <v>693</v>
      </c>
      <c r="B17" s="182" t="s">
        <v>694</v>
      </c>
      <c r="C17" s="345"/>
      <c r="G17" s="182" t="s">
        <v>682</v>
      </c>
      <c r="J17" s="183" t="s">
        <v>683</v>
      </c>
      <c r="L17" s="379">
        <v>46146.604166666664</v>
      </c>
      <c r="M17" s="379">
        <v>46146.770833333336</v>
      </c>
      <c r="N17" s="377">
        <v>46146.020833333336</v>
      </c>
      <c r="O17" s="377">
        <v>46146.229166666664</v>
      </c>
      <c r="P17" s="187">
        <f t="shared" si="2"/>
        <v>46146.5</v>
      </c>
      <c r="Q17" s="187">
        <f t="shared" si="3"/>
        <v>46146.666666666664</v>
      </c>
      <c r="R17" s="339" t="s">
        <v>261</v>
      </c>
    </row>
    <row r="18" spans="1:18" s="339" customFormat="1" ht="12.75">
      <c r="A18" s="361" t="s">
        <v>693</v>
      </c>
      <c r="B18" s="182" t="s">
        <v>694</v>
      </c>
      <c r="C18" s="345"/>
      <c r="G18" s="182" t="s">
        <v>682</v>
      </c>
      <c r="J18" s="183" t="s">
        <v>683</v>
      </c>
      <c r="L18" s="379">
        <v>46160.604166666664</v>
      </c>
      <c r="M18" s="379">
        <v>46160.770833333336</v>
      </c>
      <c r="N18" s="377">
        <v>46160.020833333336</v>
      </c>
      <c r="O18" s="377">
        <v>46160.229166666664</v>
      </c>
      <c r="P18" s="187">
        <f t="shared" si="2"/>
        <v>46160.5</v>
      </c>
      <c r="Q18" s="187">
        <f t="shared" si="3"/>
        <v>46160.666666666664</v>
      </c>
      <c r="R18" s="339" t="s">
        <v>261</v>
      </c>
    </row>
    <row r="19" spans="1:18" s="339" customFormat="1" ht="12.75">
      <c r="A19" s="361" t="s">
        <v>693</v>
      </c>
      <c r="B19" s="182" t="s">
        <v>695</v>
      </c>
      <c r="C19" s="345"/>
      <c r="H19" s="182" t="s">
        <v>682</v>
      </c>
      <c r="J19" s="183" t="s">
        <v>683</v>
      </c>
      <c r="L19" s="379">
        <v>46161.604166666664</v>
      </c>
      <c r="M19" s="379">
        <v>46161.770833333336</v>
      </c>
      <c r="N19" s="377">
        <v>46161.020833333336</v>
      </c>
      <c r="O19" s="377">
        <v>46161.229166666664</v>
      </c>
      <c r="P19" s="187">
        <f t="shared" si="2"/>
        <v>46161.5</v>
      </c>
      <c r="Q19" s="187">
        <f t="shared" si="3"/>
        <v>46161.666666666664</v>
      </c>
      <c r="R19" s="339" t="s">
        <v>261</v>
      </c>
    </row>
    <row r="20" spans="1:18" s="339" customFormat="1" ht="15" customHeight="1">
      <c r="A20" s="361" t="s">
        <v>693</v>
      </c>
      <c r="B20" s="182" t="s">
        <v>696</v>
      </c>
      <c r="C20" s="345"/>
      <c r="D20" s="182" t="s">
        <v>682</v>
      </c>
      <c r="J20" s="183" t="s">
        <v>683</v>
      </c>
      <c r="L20" s="379">
        <v>46167.604166666664</v>
      </c>
      <c r="M20" s="379">
        <v>46167.770833333336</v>
      </c>
      <c r="N20" s="377">
        <v>46167.020833333336</v>
      </c>
      <c r="O20" s="377">
        <v>46167.229166666664</v>
      </c>
      <c r="P20" s="187">
        <f t="shared" si="2"/>
        <v>46167.5</v>
      </c>
      <c r="Q20" s="187">
        <f t="shared" si="3"/>
        <v>46167.666666666664</v>
      </c>
      <c r="R20" s="339" t="s">
        <v>261</v>
      </c>
    </row>
    <row r="21" spans="1:18" s="339" customFormat="1" ht="12.75">
      <c r="A21" s="361" t="s">
        <v>693</v>
      </c>
      <c r="B21" s="182" t="s">
        <v>697</v>
      </c>
      <c r="C21" s="345"/>
      <c r="D21" s="182" t="s">
        <v>682</v>
      </c>
      <c r="J21" s="183" t="s">
        <v>683</v>
      </c>
      <c r="L21" s="379">
        <v>46177.604166666664</v>
      </c>
      <c r="M21" s="379">
        <v>46177.770833333336</v>
      </c>
      <c r="N21" s="377">
        <v>46177.020833333336</v>
      </c>
      <c r="O21" s="377">
        <v>46177.229166666664</v>
      </c>
      <c r="P21" s="187">
        <f t="shared" si="2"/>
        <v>46177.5</v>
      </c>
      <c r="Q21" s="187">
        <f t="shared" si="3"/>
        <v>46177.666666666664</v>
      </c>
      <c r="R21" s="339" t="s">
        <v>261</v>
      </c>
    </row>
    <row r="22" spans="1:18" s="339" customFormat="1" ht="12.75">
      <c r="A22" s="361" t="s">
        <v>693</v>
      </c>
      <c r="B22" s="182" t="s">
        <v>698</v>
      </c>
      <c r="C22" s="182" t="s">
        <v>682</v>
      </c>
      <c r="J22" s="183" t="s">
        <v>683</v>
      </c>
      <c r="N22" s="350"/>
      <c r="O22" s="350"/>
      <c r="P22" s="187" t="str">
        <f t="shared" si="2"/>
        <v/>
      </c>
      <c r="Q22" s="187" t="str">
        <f t="shared" si="3"/>
        <v/>
      </c>
    </row>
    <row r="23" spans="1:18">
      <c r="A23" s="380"/>
      <c r="B23" s="358"/>
      <c r="C23" s="381"/>
      <c r="D23" s="381"/>
      <c r="E23" s="381"/>
      <c r="F23" s="381"/>
      <c r="G23" s="382"/>
      <c r="H23" s="382"/>
      <c r="I23" s="357"/>
      <c r="J23" s="357"/>
      <c r="K23" s="381"/>
      <c r="L23" s="381"/>
      <c r="M23" s="381"/>
    </row>
    <row r="24" spans="1:18">
      <c r="A24" s="380"/>
      <c r="B24" s="358"/>
      <c r="C24" s="380"/>
      <c r="D24" s="381"/>
      <c r="E24" s="381"/>
      <c r="F24" s="381"/>
      <c r="G24" s="382"/>
      <c r="H24" s="382"/>
      <c r="I24" s="357"/>
      <c r="J24" s="357"/>
      <c r="K24" s="381"/>
      <c r="L24" s="381"/>
      <c r="M24" s="381"/>
    </row>
    <row r="25" spans="1:18">
      <c r="A25" s="380"/>
      <c r="B25" s="358"/>
      <c r="C25" s="380"/>
      <c r="D25" s="381"/>
      <c r="E25" s="381"/>
      <c r="F25" s="381"/>
      <c r="G25" s="382"/>
      <c r="H25" s="382"/>
      <c r="I25" s="357"/>
      <c r="J25" s="357"/>
      <c r="K25" s="381"/>
      <c r="L25" s="381"/>
      <c r="M25" s="381"/>
    </row>
    <row r="26" spans="1:18">
      <c r="A26" s="380"/>
      <c r="B26" s="380"/>
      <c r="C26" s="381"/>
      <c r="D26" s="381"/>
      <c r="E26" s="381"/>
      <c r="F26" s="381"/>
      <c r="G26" s="383"/>
      <c r="H26" s="383"/>
      <c r="I26" s="357"/>
      <c r="J26" s="357"/>
      <c r="K26" s="381"/>
      <c r="L26" s="381"/>
      <c r="M26" s="381"/>
    </row>
    <row r="28" spans="1:18">
      <c r="A28" s="73" t="s">
        <v>699</v>
      </c>
      <c r="B28" s="60" t="s">
        <v>700</v>
      </c>
    </row>
    <row r="29" spans="1:18">
      <c r="A29" s="73"/>
      <c r="B29" s="60"/>
    </row>
    <row r="31" spans="1:18">
      <c r="A31" s="73" t="s">
        <v>701</v>
      </c>
      <c r="C31" t="s">
        <v>702</v>
      </c>
      <c r="H31" t="s">
        <v>703</v>
      </c>
    </row>
    <row r="32" spans="1:18">
      <c r="A32" s="191" t="s">
        <v>704</v>
      </c>
      <c r="B32" s="191" t="s">
        <v>705</v>
      </c>
      <c r="C32" s="191" t="s">
        <v>706</v>
      </c>
      <c r="D32" s="191" t="s">
        <v>707</v>
      </c>
      <c r="E32" s="191" t="s">
        <v>708</v>
      </c>
      <c r="H32" s="192" t="s">
        <v>709</v>
      </c>
    </row>
    <row r="33" spans="1:8">
      <c r="A33" s="193"/>
      <c r="B33" s="194"/>
      <c r="C33" s="195"/>
      <c r="D33" s="195"/>
      <c r="E33" s="195"/>
    </row>
    <row r="34" spans="1:8">
      <c r="A34" s="193"/>
      <c r="B34" s="196"/>
      <c r="C34" s="197"/>
      <c r="D34" s="197"/>
      <c r="E34" s="195"/>
    </row>
    <row r="35" spans="1:8">
      <c r="A35" s="24"/>
      <c r="B35" s="196"/>
      <c r="C35" s="197"/>
      <c r="D35" s="197"/>
      <c r="E35" s="195"/>
    </row>
    <row r="36" spans="1:8">
      <c r="A36" s="24"/>
      <c r="B36" s="196"/>
      <c r="C36" s="198"/>
      <c r="D36" s="197"/>
      <c r="E36" s="195"/>
    </row>
    <row r="37" spans="1:8">
      <c r="A37" s="24"/>
      <c r="B37" s="196"/>
      <c r="C37" s="198"/>
      <c r="D37" s="197"/>
      <c r="E37" s="195"/>
    </row>
    <row r="38" spans="1:8">
      <c r="A38" s="24"/>
      <c r="B38" s="196"/>
      <c r="C38" s="198"/>
      <c r="D38" s="197"/>
      <c r="E38" s="195"/>
    </row>
    <row r="39" spans="1:8">
      <c r="A39" s="24"/>
      <c r="B39" s="196"/>
      <c r="C39" s="198"/>
      <c r="D39" s="197"/>
      <c r="E39" s="197"/>
    </row>
    <row r="40" spans="1:8">
      <c r="A40" s="24"/>
      <c r="B40" s="196"/>
      <c r="C40" s="198"/>
      <c r="D40" s="197"/>
      <c r="E40" s="197"/>
      <c r="H40" t="s">
        <v>270</v>
      </c>
    </row>
    <row r="41" spans="1:8">
      <c r="A41" s="24"/>
      <c r="B41" s="196"/>
      <c r="C41" s="198"/>
      <c r="D41" s="197"/>
      <c r="E41" s="197"/>
    </row>
    <row r="42" spans="1:8">
      <c r="A42" s="24"/>
      <c r="B42" s="196"/>
      <c r="C42" s="198"/>
      <c r="D42" s="197"/>
      <c r="E42" s="197"/>
    </row>
    <row r="43" spans="1:8">
      <c r="A43" s="24"/>
      <c r="B43" s="196"/>
      <c r="C43" s="198"/>
      <c r="D43" s="197"/>
      <c r="E43" s="197"/>
    </row>
    <row r="44" spans="1:8">
      <c r="A44" s="24"/>
      <c r="B44" s="196"/>
      <c r="C44" s="198"/>
      <c r="D44" s="197"/>
      <c r="E44" s="197"/>
    </row>
    <row r="45" spans="1:8">
      <c r="A45" s="24"/>
      <c r="B45" s="196"/>
      <c r="C45" s="198"/>
      <c r="D45" s="197"/>
      <c r="E45" s="197"/>
    </row>
    <row r="46" spans="1:8">
      <c r="A46" s="24"/>
      <c r="B46" s="196"/>
      <c r="C46" s="198"/>
      <c r="D46" s="197"/>
      <c r="E46" s="197"/>
    </row>
    <row r="47" spans="1:8">
      <c r="A47" s="24"/>
      <c r="B47" s="196"/>
      <c r="C47" s="198"/>
      <c r="D47" s="197"/>
      <c r="E47" s="197"/>
    </row>
    <row r="48" spans="1:8">
      <c r="A48" s="24"/>
      <c r="B48" s="196"/>
      <c r="C48" s="198"/>
      <c r="D48" s="197"/>
      <c r="E48" s="197"/>
    </row>
    <row r="49" spans="1:5">
      <c r="A49" s="24"/>
      <c r="B49" s="196"/>
      <c r="C49" s="198"/>
      <c r="D49" s="197"/>
      <c r="E49" s="197"/>
    </row>
    <row r="50" spans="1:5">
      <c r="A50" s="24"/>
      <c r="B50" s="196"/>
      <c r="C50" s="198"/>
      <c r="D50" s="197"/>
      <c r="E50" s="197"/>
    </row>
    <row r="51" spans="1:5">
      <c r="A51" s="24"/>
      <c r="B51" s="196"/>
      <c r="C51" s="198"/>
      <c r="D51" s="199"/>
      <c r="E51" s="197"/>
    </row>
    <row r="52" spans="1:5">
      <c r="A52" s="24"/>
      <c r="B52" s="196"/>
      <c r="C52" s="198"/>
      <c r="D52" s="197"/>
      <c r="E52" s="197"/>
    </row>
    <row r="53" spans="1:5">
      <c r="A53" s="24"/>
      <c r="B53" s="196"/>
      <c r="C53" s="198"/>
      <c r="D53" s="197"/>
      <c r="E53" s="197"/>
    </row>
    <row r="54" spans="1:5">
      <c r="A54" s="29"/>
      <c r="B54" s="196"/>
      <c r="C54" s="200"/>
      <c r="D54" s="201"/>
      <c r="E54" s="202"/>
    </row>
    <row r="55" spans="1:5">
      <c r="A55" s="29"/>
      <c r="B55" s="196"/>
      <c r="C55" s="203"/>
      <c r="D55" s="201"/>
      <c r="E55" s="204"/>
    </row>
    <row r="56" spans="1:5">
      <c r="A56" s="205"/>
      <c r="B56" s="196"/>
      <c r="C56" s="203"/>
      <c r="D56" s="206"/>
      <c r="E56" s="204"/>
    </row>
    <row r="57" spans="1:5">
      <c r="A57" s="205"/>
      <c r="B57" s="207"/>
      <c r="C57" s="203"/>
      <c r="D57" s="206"/>
      <c r="E57" s="204"/>
    </row>
    <row r="58" spans="1:5">
      <c r="A58" s="205"/>
      <c r="B58" s="207"/>
      <c r="C58" s="206"/>
      <c r="D58" s="206"/>
      <c r="E58" s="204"/>
    </row>
    <row r="59" spans="1:5">
      <c r="A59" s="205"/>
      <c r="B59" s="207"/>
      <c r="C59" s="206"/>
      <c r="D59" s="206"/>
      <c r="E59" s="204"/>
    </row>
    <row r="60" spans="1:5">
      <c r="A60" s="205"/>
      <c r="B60" s="207"/>
      <c r="C60" s="206"/>
      <c r="D60" s="206"/>
      <c r="E60" s="204"/>
    </row>
    <row r="61" spans="1:5">
      <c r="A61" s="205"/>
      <c r="B61" s="207"/>
      <c r="C61" s="206"/>
      <c r="D61" s="206"/>
      <c r="E61" s="204"/>
    </row>
    <row r="62" spans="1:5">
      <c r="A62" s="205"/>
      <c r="B62" s="207"/>
      <c r="C62" s="206"/>
      <c r="D62" s="206"/>
      <c r="E62" s="204"/>
    </row>
    <row r="63" spans="1:5">
      <c r="A63" s="205"/>
      <c r="B63" s="207"/>
      <c r="C63" s="206"/>
      <c r="D63" s="206"/>
      <c r="E63" s="204"/>
    </row>
    <row r="64" spans="1:5">
      <c r="A64" s="205"/>
      <c r="B64" s="207"/>
      <c r="C64" s="206"/>
      <c r="D64" s="206"/>
      <c r="E64" s="204"/>
    </row>
    <row r="65" spans="1:5">
      <c r="A65" s="205"/>
      <c r="B65" s="207"/>
      <c r="C65" s="206"/>
      <c r="D65" s="206"/>
      <c r="E65" s="204"/>
    </row>
    <row r="66" spans="1:5">
      <c r="A66" s="208"/>
      <c r="B66" s="207"/>
      <c r="C66" s="206"/>
      <c r="D66" s="206"/>
      <c r="E66" s="204"/>
    </row>
    <row r="67" spans="1:5">
      <c r="A67" s="208"/>
      <c r="B67" s="207"/>
      <c r="C67" s="206"/>
      <c r="D67" s="206"/>
      <c r="E67" s="204"/>
    </row>
    <row r="68" spans="1:5">
      <c r="A68" s="208"/>
      <c r="B68" s="207"/>
      <c r="C68" s="206"/>
      <c r="D68" s="206"/>
      <c r="E68" s="204"/>
    </row>
    <row r="69" spans="1:5">
      <c r="A69" s="208"/>
      <c r="B69" s="207"/>
      <c r="C69" s="206"/>
      <c r="D69" s="206"/>
      <c r="E69" s="204"/>
    </row>
    <row r="70" spans="1:5">
      <c r="A70" s="208"/>
      <c r="B70" s="207"/>
      <c r="C70" s="206"/>
      <c r="D70" s="206"/>
      <c r="E70" s="204"/>
    </row>
    <row r="71" spans="1:5">
      <c r="A71" s="208"/>
      <c r="B71" s="207"/>
      <c r="C71" s="206"/>
      <c r="D71" s="206"/>
      <c r="E71" s="204"/>
    </row>
    <row r="72" spans="1:5">
      <c r="A72" s="208"/>
      <c r="B72" s="207"/>
      <c r="C72" s="206"/>
      <c r="D72" s="206"/>
      <c r="E72" s="204"/>
    </row>
    <row r="73" spans="1:5">
      <c r="A73" s="208"/>
      <c r="B73" s="207"/>
      <c r="C73" s="206"/>
      <c r="D73" s="206"/>
      <c r="E73" s="204"/>
    </row>
    <row r="74" spans="1:5">
      <c r="A74" s="208"/>
      <c r="B74" s="207"/>
      <c r="C74" s="206"/>
      <c r="D74" s="206"/>
      <c r="E74" s="204"/>
    </row>
    <row r="75" spans="1:5">
      <c r="A75" s="208"/>
      <c r="B75" s="207"/>
      <c r="C75" s="206"/>
      <c r="D75" s="206"/>
      <c r="E75" s="204"/>
    </row>
    <row r="76" spans="1:5">
      <c r="A76" s="208"/>
      <c r="B76" s="207"/>
      <c r="C76" s="206"/>
      <c r="D76" s="206"/>
      <c r="E76" s="204"/>
    </row>
  </sheetData>
  <mergeCells count="6">
    <mergeCell ref="B1:B3"/>
    <mergeCell ref="C1:I1"/>
    <mergeCell ref="K1:K3"/>
    <mergeCell ref="R1:R3"/>
    <mergeCell ref="S1:S3"/>
    <mergeCell ref="D2:H2"/>
  </mergeCells>
  <conditionalFormatting sqref="R4:R13">
    <cfRule type="containsText" dxfId="21" priority="1" operator="containsText" text="Not Applicable">
      <formula>NOT(ISERROR(SEARCH("Not Applicable",R4)))</formula>
    </cfRule>
    <cfRule type="containsText" dxfId="20" priority="2" operator="containsText" text="Not Started">
      <formula>NOT(ISERROR(SEARCH("Not Started",R4)))</formula>
    </cfRule>
    <cfRule type="containsText" dxfId="19" priority="3" operator="containsText" text="In Progress">
      <formula>NOT(ISERROR(SEARCH("In Progress",R4)))</formula>
    </cfRule>
    <cfRule type="containsText" dxfId="18" priority="4" operator="containsText" text="Compeleted">
      <formula>NOT(ISERROR(SEARCH("Compeleted",R4)))</formula>
    </cfRule>
    <cfRule type="containsText" dxfId="17" priority="5" operator="containsText" text="Behind Plan">
      <formula>NOT(ISERROR(SEARCH("Behind Plan",R4)))</formula>
    </cfRule>
    <cfRule type="containsText" dxfId="16" priority="6" operator="containsText" text="Not Applicable">
      <formula>NOT(ISERROR(SEARCH("Not Applicable",R4)))</formula>
    </cfRule>
    <cfRule type="containsText" dxfId="15" priority="7" operator="containsText" text="Not Started">
      <formula>NOT(ISERROR(SEARCH("Not Started",R4)))</formula>
    </cfRule>
    <cfRule type="containsText" dxfId="14" priority="8" operator="containsText" text="In Progress">
      <formula>NOT(ISERROR(SEARCH("In Progress",R4)))</formula>
    </cfRule>
    <cfRule type="containsText" dxfId="13" priority="9" operator="containsText" text="Compeleted">
      <formula>NOT(ISERROR(SEARCH("Compeleted",R4)))</formula>
    </cfRule>
  </conditionalFormatting>
  <dataValidations count="2">
    <dataValidation type="list" allowBlank="1" showInputMessage="1" showErrorMessage="1" sqref="E23:E26 J4:J22 O4:O13" xr:uid="{E65F2D58-8671-4E07-BA76-2DB9BDA47C0D}">
      <formula1>"Soft,Hard"</formula1>
    </dataValidation>
    <dataValidation type="list" allowBlank="1" showInputMessage="1" showErrorMessage="1" sqref="A33:A65" xr:uid="{5105B2BD-A819-4AA4-940A-6F446E5DDA78}">
      <formula1>"QA, Prodfix, Prod"</formula1>
    </dataValidation>
  </dataValidations>
  <hyperlinks>
    <hyperlink ref="B28" r:id="rId1" display="../../../../../../:x:/r/sites/NextGenACES-iCertisShared/Shared Documents/General/MMD Downtime Log_v3.xlsx?d=wd33e531fdb9447c3a5deb7c1aafbc74a&amp;csf=1&amp;web=1&amp;e=Xui2hL" xr:uid="{A831FCD5-CFD8-4A50-A7B0-A231B16C8082}"/>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002BF-E501-4379-A517-60931EC33ACF}">
  <sheetPr codeName="Sheet6">
    <tabColor theme="9"/>
  </sheetPr>
  <dimension ref="A1:J58"/>
  <sheetViews>
    <sheetView zoomScale="115" zoomScaleNormal="115" workbookViewId="0">
      <selection activeCell="K7" sqref="K7"/>
    </sheetView>
  </sheetViews>
  <sheetFormatPr defaultRowHeight="15"/>
  <cols>
    <col min="1" max="1" width="14.5703125" customWidth="1"/>
    <col min="2" max="2" width="29.5703125" style="78" customWidth="1"/>
    <col min="3" max="3" width="18" customWidth="1"/>
    <col min="4" max="4" width="12" customWidth="1"/>
    <col min="7" max="7" width="11" customWidth="1"/>
    <col min="8" max="8" width="24.140625" style="56" customWidth="1"/>
    <col min="9" max="9" width="22.5703125" customWidth="1"/>
    <col min="10" max="10" width="29.28515625" customWidth="1"/>
    <col min="16" max="16" width="14.7109375" customWidth="1"/>
  </cols>
  <sheetData>
    <row r="1" spans="1:10" ht="15.75" thickBot="1">
      <c r="A1" s="838" t="s">
        <v>704</v>
      </c>
      <c r="B1" s="2" t="s">
        <v>710</v>
      </c>
      <c r="H1" s="62" t="s">
        <v>711</v>
      </c>
      <c r="I1" s="62" t="s">
        <v>712</v>
      </c>
      <c r="J1" s="63" t="s">
        <v>713</v>
      </c>
    </row>
    <row r="2" spans="1:10">
      <c r="A2" s="838"/>
      <c r="B2" s="2" t="s">
        <v>714</v>
      </c>
      <c r="H2" s="839" t="s">
        <v>715</v>
      </c>
      <c r="I2" s="841">
        <v>44958</v>
      </c>
    </row>
    <row r="3" spans="1:10" ht="15.75" thickBot="1">
      <c r="A3" s="843" t="s">
        <v>311</v>
      </c>
      <c r="B3" s="65" t="s">
        <v>716</v>
      </c>
      <c r="C3" s="844" t="s">
        <v>717</v>
      </c>
      <c r="H3" s="840"/>
      <c r="I3" s="842"/>
    </row>
    <row r="4" spans="1:10">
      <c r="A4" s="843"/>
      <c r="B4" s="489" t="s">
        <v>718</v>
      </c>
      <c r="C4" s="844"/>
      <c r="H4" s="839" t="s">
        <v>719</v>
      </c>
      <c r="I4" s="67" t="s">
        <v>720</v>
      </c>
      <c r="J4" s="841">
        <v>45261</v>
      </c>
    </row>
    <row r="5" spans="1:10">
      <c r="A5" s="843"/>
      <c r="B5" s="66" t="s">
        <v>721</v>
      </c>
      <c r="C5" s="844"/>
      <c r="H5" s="845"/>
      <c r="I5" s="1" t="s">
        <v>722</v>
      </c>
      <c r="J5" s="847"/>
    </row>
    <row r="6" spans="1:10">
      <c r="A6" s="843"/>
      <c r="B6" s="66" t="s">
        <v>723</v>
      </c>
      <c r="C6" s="844"/>
      <c r="H6" s="845"/>
      <c r="I6" s="1" t="s">
        <v>724</v>
      </c>
      <c r="J6" s="847"/>
    </row>
    <row r="7" spans="1:10" ht="15.75" thickBot="1">
      <c r="A7" s="843"/>
      <c r="B7" s="489" t="s">
        <v>678</v>
      </c>
      <c r="C7" s="68" t="s">
        <v>725</v>
      </c>
      <c r="H7" s="846"/>
      <c r="I7" s="70" t="s">
        <v>726</v>
      </c>
      <c r="J7" s="848"/>
    </row>
    <row r="8" spans="1:10">
      <c r="A8" s="843"/>
      <c r="B8" s="489" t="s">
        <v>556</v>
      </c>
      <c r="C8" s="849" t="s">
        <v>727</v>
      </c>
      <c r="H8" s="839" t="s">
        <v>715</v>
      </c>
      <c r="I8" s="67" t="s">
        <v>728</v>
      </c>
      <c r="J8" s="841">
        <v>45170</v>
      </c>
    </row>
    <row r="9" spans="1:10">
      <c r="A9" s="843"/>
      <c r="B9" s="489" t="s">
        <v>729</v>
      </c>
      <c r="C9" s="849"/>
      <c r="H9" s="845"/>
      <c r="I9" s="1" t="s">
        <v>730</v>
      </c>
      <c r="J9" s="847"/>
    </row>
    <row r="10" spans="1:10" ht="15" customHeight="1">
      <c r="A10" s="843"/>
      <c r="B10" s="66" t="s">
        <v>731</v>
      </c>
      <c r="C10" s="849"/>
      <c r="H10" s="845"/>
      <c r="I10" s="1" t="s">
        <v>732</v>
      </c>
      <c r="J10" s="847"/>
    </row>
    <row r="11" spans="1:10" ht="15" customHeight="1">
      <c r="A11" s="843"/>
      <c r="B11" s="489" t="s">
        <v>733</v>
      </c>
      <c r="C11" s="850" t="s">
        <v>734</v>
      </c>
      <c r="H11" s="845"/>
      <c r="I11" s="1" t="s">
        <v>735</v>
      </c>
      <c r="J11" s="847"/>
    </row>
    <row r="12" spans="1:10">
      <c r="A12" s="843"/>
      <c r="B12" s="489" t="s">
        <v>736</v>
      </c>
      <c r="C12" s="850"/>
      <c r="H12" s="845"/>
      <c r="I12" s="1" t="s">
        <v>737</v>
      </c>
      <c r="J12" s="847"/>
    </row>
    <row r="13" spans="1:10" ht="15.75" thickBot="1">
      <c r="A13" s="843"/>
      <c r="B13" s="66" t="s">
        <v>738</v>
      </c>
      <c r="C13" s="850"/>
      <c r="H13" s="69" t="s">
        <v>739</v>
      </c>
      <c r="I13" s="70" t="s">
        <v>739</v>
      </c>
      <c r="J13" s="848"/>
    </row>
    <row r="14" spans="1:10">
      <c r="A14" s="843"/>
      <c r="B14" s="71" t="s">
        <v>740</v>
      </c>
      <c r="C14" s="850"/>
      <c r="H14" s="839" t="s">
        <v>741</v>
      </c>
      <c r="I14" s="67" t="s">
        <v>742</v>
      </c>
      <c r="J14" s="841">
        <v>44713</v>
      </c>
    </row>
    <row r="15" spans="1:10">
      <c r="A15" s="843"/>
      <c r="B15" s="66" t="s">
        <v>743</v>
      </c>
      <c r="C15" s="850"/>
      <c r="H15" s="845"/>
      <c r="I15" s="72" t="s">
        <v>744</v>
      </c>
      <c r="J15" s="847"/>
    </row>
    <row r="16" spans="1:10" ht="15" customHeight="1">
      <c r="A16" s="843"/>
      <c r="B16" s="66" t="s">
        <v>745</v>
      </c>
      <c r="C16" s="850"/>
      <c r="H16" s="845"/>
      <c r="I16" s="1" t="s">
        <v>746</v>
      </c>
      <c r="J16" s="847"/>
    </row>
    <row r="17" spans="1:10" ht="15" customHeight="1">
      <c r="A17" s="843"/>
      <c r="B17" s="66" t="s">
        <v>742</v>
      </c>
      <c r="C17" s="850"/>
      <c r="F17" s="73"/>
      <c r="H17" s="845" t="s">
        <v>747</v>
      </c>
      <c r="I17" s="1" t="s">
        <v>748</v>
      </c>
      <c r="J17" s="847"/>
    </row>
    <row r="18" spans="1:10" ht="15" customHeight="1">
      <c r="A18" s="843"/>
      <c r="B18" s="66" t="s">
        <v>744</v>
      </c>
      <c r="C18" s="850"/>
      <c r="H18" s="845"/>
      <c r="I18" s="1" t="s">
        <v>749</v>
      </c>
      <c r="J18" s="847"/>
    </row>
    <row r="19" spans="1:10" ht="15" customHeight="1">
      <c r="A19" s="843"/>
      <c r="B19" s="66" t="s">
        <v>746</v>
      </c>
      <c r="C19" s="850"/>
      <c r="H19" s="845"/>
      <c r="I19" s="1" t="s">
        <v>750</v>
      </c>
      <c r="J19" s="847"/>
    </row>
    <row r="20" spans="1:10" ht="15" customHeight="1">
      <c r="A20" s="843"/>
      <c r="B20" s="66" t="s">
        <v>748</v>
      </c>
      <c r="C20" s="850"/>
      <c r="H20" s="845"/>
      <c r="I20" s="1" t="s">
        <v>751</v>
      </c>
      <c r="J20" s="847"/>
    </row>
    <row r="21" spans="1:10" ht="15" customHeight="1">
      <c r="A21" s="843"/>
      <c r="B21" s="66" t="s">
        <v>749</v>
      </c>
      <c r="C21" s="850"/>
      <c r="H21" s="845"/>
      <c r="I21" s="1" t="s">
        <v>752</v>
      </c>
      <c r="J21" s="847"/>
    </row>
    <row r="22" spans="1:10" ht="15" customHeight="1">
      <c r="A22" s="843"/>
      <c r="B22" s="66" t="s">
        <v>750</v>
      </c>
      <c r="C22" s="850"/>
      <c r="H22" s="845" t="s">
        <v>753</v>
      </c>
      <c r="I22" s="1" t="s">
        <v>754</v>
      </c>
      <c r="J22" s="847"/>
    </row>
    <row r="23" spans="1:10" ht="15" customHeight="1">
      <c r="A23" s="843"/>
      <c r="B23" s="66" t="s">
        <v>751</v>
      </c>
      <c r="C23" s="850"/>
      <c r="H23" s="845"/>
      <c r="I23" s="1" t="s">
        <v>755</v>
      </c>
      <c r="J23" s="847"/>
    </row>
    <row r="24" spans="1:10" ht="15" customHeight="1">
      <c r="A24" s="843"/>
      <c r="B24" s="66" t="s">
        <v>752</v>
      </c>
      <c r="C24" s="850"/>
      <c r="H24" s="845"/>
      <c r="I24" s="1" t="s">
        <v>756</v>
      </c>
      <c r="J24" s="847"/>
    </row>
    <row r="25" spans="1:10" ht="15" customHeight="1">
      <c r="A25" s="843"/>
      <c r="B25" s="66" t="s">
        <v>754</v>
      </c>
      <c r="C25" s="850"/>
      <c r="H25" s="845"/>
      <c r="I25" s="1" t="s">
        <v>757</v>
      </c>
      <c r="J25" s="847"/>
    </row>
    <row r="26" spans="1:10">
      <c r="A26" s="843"/>
      <c r="B26" s="71" t="s">
        <v>755</v>
      </c>
      <c r="C26" s="850"/>
      <c r="H26" s="845"/>
      <c r="I26" s="1" t="s">
        <v>758</v>
      </c>
      <c r="J26" s="847"/>
    </row>
    <row r="27" spans="1:10" ht="15.75" thickBot="1">
      <c r="A27" s="843"/>
      <c r="B27" s="66" t="s">
        <v>756</v>
      </c>
      <c r="C27" s="850"/>
      <c r="H27" s="846"/>
      <c r="I27" s="74" t="s">
        <v>759</v>
      </c>
      <c r="J27" s="848"/>
    </row>
    <row r="28" spans="1:10">
      <c r="A28" s="843"/>
      <c r="B28" s="66" t="s">
        <v>757</v>
      </c>
      <c r="C28" s="850"/>
      <c r="H28" s="839" t="s">
        <v>760</v>
      </c>
      <c r="I28" s="67" t="s">
        <v>733</v>
      </c>
      <c r="J28" s="841">
        <v>44621</v>
      </c>
    </row>
    <row r="29" spans="1:10" ht="15.75" thickBot="1">
      <c r="A29" s="843"/>
      <c r="B29" s="66" t="s">
        <v>758</v>
      </c>
      <c r="C29" s="850"/>
      <c r="H29" s="846"/>
      <c r="I29" s="70" t="s">
        <v>743</v>
      </c>
      <c r="J29" s="848"/>
    </row>
    <row r="30" spans="1:10">
      <c r="A30" s="843"/>
      <c r="B30" s="66" t="s">
        <v>759</v>
      </c>
      <c r="C30" s="850"/>
      <c r="H30" s="839" t="s">
        <v>761</v>
      </c>
      <c r="I30" s="67" t="s">
        <v>556</v>
      </c>
      <c r="J30" s="841">
        <v>44593</v>
      </c>
    </row>
    <row r="31" spans="1:10">
      <c r="A31" s="843"/>
      <c r="B31" s="66" t="s">
        <v>762</v>
      </c>
      <c r="C31" s="850"/>
      <c r="H31" s="845"/>
      <c r="I31" s="1" t="s">
        <v>729</v>
      </c>
      <c r="J31" s="847"/>
    </row>
    <row r="32" spans="1:10" ht="15" customHeight="1">
      <c r="A32" s="843"/>
      <c r="B32" s="66" t="s">
        <v>726</v>
      </c>
      <c r="C32" s="850"/>
      <c r="H32" s="845"/>
      <c r="I32" s="1" t="s">
        <v>740</v>
      </c>
      <c r="J32" s="847"/>
    </row>
    <row r="33" spans="1:10" ht="15" customHeight="1">
      <c r="A33" s="843"/>
      <c r="B33" s="66" t="s">
        <v>724</v>
      </c>
      <c r="C33" s="850"/>
      <c r="H33" s="845"/>
      <c r="I33" s="1" t="s">
        <v>731</v>
      </c>
      <c r="J33" s="847"/>
    </row>
    <row r="34" spans="1:10" ht="15" customHeight="1">
      <c r="A34" s="843"/>
      <c r="B34" s="66" t="s">
        <v>720</v>
      </c>
      <c r="C34" s="850"/>
      <c r="H34" s="845"/>
      <c r="I34" s="1" t="s">
        <v>738</v>
      </c>
      <c r="J34" s="847"/>
    </row>
    <row r="35" spans="1:10" ht="15" customHeight="1">
      <c r="A35" s="843"/>
      <c r="B35" s="66" t="s">
        <v>722</v>
      </c>
      <c r="C35" s="850"/>
      <c r="H35" s="845"/>
      <c r="I35" s="1" t="s">
        <v>762</v>
      </c>
      <c r="J35" s="847"/>
    </row>
    <row r="36" spans="1:10" ht="15" customHeight="1">
      <c r="A36" s="835" t="s">
        <v>763</v>
      </c>
      <c r="B36" s="277" t="s">
        <v>764</v>
      </c>
      <c r="C36" s="1"/>
      <c r="D36" s="75" t="s">
        <v>261</v>
      </c>
      <c r="H36" s="845" t="s">
        <v>734</v>
      </c>
      <c r="I36" s="1" t="s">
        <v>765</v>
      </c>
      <c r="J36" s="847"/>
    </row>
    <row r="37" spans="1:10" ht="15" customHeight="1">
      <c r="A37" s="836"/>
      <c r="B37" s="277" t="s">
        <v>766</v>
      </c>
      <c r="C37" s="1"/>
      <c r="D37" s="75" t="s">
        <v>261</v>
      </c>
      <c r="H37" s="845"/>
      <c r="I37" s="1"/>
      <c r="J37" s="847"/>
    </row>
    <row r="38" spans="1:10" ht="15" customHeight="1">
      <c r="A38" s="836"/>
      <c r="B38" s="272" t="s">
        <v>399</v>
      </c>
      <c r="C38" s="1"/>
      <c r="D38" s="75" t="s">
        <v>261</v>
      </c>
      <c r="H38" s="845"/>
      <c r="I38" s="1"/>
      <c r="J38" s="847"/>
    </row>
    <row r="39" spans="1:10">
      <c r="A39" s="836"/>
      <c r="B39" s="273" t="s">
        <v>767</v>
      </c>
      <c r="C39" s="1"/>
      <c r="D39" s="75" t="s">
        <v>261</v>
      </c>
      <c r="H39" s="845"/>
      <c r="I39" s="1" t="s">
        <v>736</v>
      </c>
      <c r="J39" s="847"/>
    </row>
    <row r="40" spans="1:10" ht="15.75" thickBot="1">
      <c r="A40" s="836"/>
      <c r="B40" s="273" t="s">
        <v>768</v>
      </c>
      <c r="C40" s="1"/>
      <c r="D40" s="75" t="s">
        <v>261</v>
      </c>
      <c r="H40" s="69" t="s">
        <v>717</v>
      </c>
      <c r="I40" s="70" t="s">
        <v>723</v>
      </c>
      <c r="J40" s="848"/>
    </row>
    <row r="41" spans="1:10">
      <c r="A41" s="836"/>
      <c r="B41" s="272" t="s">
        <v>411</v>
      </c>
      <c r="C41" s="1"/>
      <c r="D41" s="75" t="s">
        <v>261</v>
      </c>
      <c r="H41" s="64" t="s">
        <v>678</v>
      </c>
      <c r="I41" s="76" t="s">
        <v>678</v>
      </c>
      <c r="J41" s="841">
        <v>44348</v>
      </c>
    </row>
    <row r="42" spans="1:10">
      <c r="A42" s="836"/>
      <c r="B42" s="272" t="s">
        <v>769</v>
      </c>
      <c r="C42" s="1"/>
      <c r="D42" s="75" t="s">
        <v>261</v>
      </c>
      <c r="H42" s="845" t="s">
        <v>717</v>
      </c>
      <c r="I42" s="1" t="s">
        <v>721</v>
      </c>
      <c r="J42" s="847"/>
    </row>
    <row r="43" spans="1:10" ht="15" customHeight="1">
      <c r="A43" s="836"/>
      <c r="B43" s="274" t="s">
        <v>770</v>
      </c>
      <c r="C43" s="1"/>
      <c r="D43" s="75" t="s">
        <v>261</v>
      </c>
      <c r="H43" s="845"/>
      <c r="I43" s="1" t="s">
        <v>718</v>
      </c>
      <c r="J43" s="847"/>
    </row>
    <row r="44" spans="1:10">
      <c r="A44" s="836"/>
      <c r="B44" s="223" t="s">
        <v>771</v>
      </c>
      <c r="C44" s="1"/>
      <c r="D44" s="75" t="s">
        <v>261</v>
      </c>
      <c r="H44" s="840"/>
      <c r="I44" s="77" t="s">
        <v>716</v>
      </c>
      <c r="J44" s="842"/>
    </row>
    <row r="45" spans="1:10" ht="15.75" thickBot="1">
      <c r="A45" s="836"/>
      <c r="B45" s="223" t="s">
        <v>399</v>
      </c>
      <c r="C45" s="1"/>
      <c r="D45" s="75" t="s">
        <v>261</v>
      </c>
      <c r="H45" s="291"/>
      <c r="I45" s="292"/>
      <c r="J45" s="290"/>
    </row>
    <row r="46" spans="1:10">
      <c r="A46" s="836"/>
      <c r="B46" s="273" t="s">
        <v>772</v>
      </c>
      <c r="C46" s="1"/>
      <c r="D46" s="75" t="s">
        <v>261</v>
      </c>
      <c r="H46" s="839" t="s">
        <v>773</v>
      </c>
      <c r="I46" s="67" t="s">
        <v>774</v>
      </c>
      <c r="J46" s="851"/>
    </row>
    <row r="47" spans="1:10">
      <c r="A47" s="837"/>
      <c r="B47" s="272" t="s">
        <v>402</v>
      </c>
      <c r="C47" s="1"/>
      <c r="D47" s="75" t="s">
        <v>261</v>
      </c>
      <c r="H47" s="845"/>
      <c r="I47" s="1" t="s">
        <v>775</v>
      </c>
      <c r="J47" s="852"/>
    </row>
    <row r="48" spans="1:10" ht="15" customHeight="1">
      <c r="H48" s="845"/>
      <c r="I48" s="1" t="s">
        <v>776</v>
      </c>
      <c r="J48" s="852"/>
    </row>
    <row r="49" spans="3:10" ht="15" customHeight="1">
      <c r="H49" s="845"/>
      <c r="I49" s="1" t="s">
        <v>777</v>
      </c>
      <c r="J49" s="852"/>
    </row>
    <row r="50" spans="3:10" ht="15" customHeight="1" thickBot="1">
      <c r="H50" s="845"/>
      <c r="I50" s="1" t="s">
        <v>778</v>
      </c>
      <c r="J50" s="852"/>
    </row>
    <row r="51" spans="3:10" ht="15" customHeight="1" thickBot="1">
      <c r="C51" s="67" t="s">
        <v>774</v>
      </c>
      <c r="H51" s="845"/>
      <c r="I51" s="1" t="s">
        <v>533</v>
      </c>
      <c r="J51" s="852"/>
    </row>
    <row r="52" spans="3:10">
      <c r="C52" s="76" t="s">
        <v>779</v>
      </c>
      <c r="H52" s="845"/>
      <c r="I52" s="1" t="s">
        <v>528</v>
      </c>
      <c r="J52" s="852"/>
    </row>
    <row r="53" spans="3:10" ht="15.75" thickBot="1">
      <c r="C53" s="70" t="s">
        <v>780</v>
      </c>
      <c r="H53" s="846"/>
      <c r="I53" s="70" t="s">
        <v>781</v>
      </c>
      <c r="J53" s="853"/>
    </row>
    <row r="54" spans="3:10">
      <c r="C54" s="1" t="s">
        <v>782</v>
      </c>
      <c r="H54" s="839" t="s">
        <v>783</v>
      </c>
      <c r="I54" s="76" t="s">
        <v>779</v>
      </c>
      <c r="J54" s="851"/>
    </row>
    <row r="55" spans="3:10">
      <c r="C55" s="1" t="s">
        <v>775</v>
      </c>
      <c r="H55" s="845"/>
      <c r="I55" s="1" t="s">
        <v>784</v>
      </c>
      <c r="J55" s="852"/>
    </row>
    <row r="56" spans="3:10">
      <c r="C56" s="1" t="s">
        <v>777</v>
      </c>
      <c r="H56" s="845"/>
      <c r="I56" s="1" t="s">
        <v>782</v>
      </c>
      <c r="J56" s="852"/>
    </row>
    <row r="57" spans="3:10" ht="15.75" thickBot="1">
      <c r="H57" s="846"/>
      <c r="I57" s="70" t="s">
        <v>780</v>
      </c>
      <c r="J57" s="853"/>
    </row>
    <row r="58" spans="3:10" ht="15.75" thickBot="1">
      <c r="H58" s="79" t="s">
        <v>785</v>
      </c>
      <c r="I58" s="80" t="s">
        <v>785</v>
      </c>
      <c r="J58" s="81"/>
    </row>
  </sheetData>
  <mergeCells count="27">
    <mergeCell ref="J46:J53"/>
    <mergeCell ref="H54:H57"/>
    <mergeCell ref="J54:J57"/>
    <mergeCell ref="J28:J29"/>
    <mergeCell ref="H30:H35"/>
    <mergeCell ref="J30:J40"/>
    <mergeCell ref="H36:H39"/>
    <mergeCell ref="J41:J44"/>
    <mergeCell ref="H42:H44"/>
    <mergeCell ref="J4:J7"/>
    <mergeCell ref="C8:C10"/>
    <mergeCell ref="H8:H12"/>
    <mergeCell ref="J8:J13"/>
    <mergeCell ref="C11:C35"/>
    <mergeCell ref="H14:H16"/>
    <mergeCell ref="J14:J27"/>
    <mergeCell ref="H17:H21"/>
    <mergeCell ref="H22:H27"/>
    <mergeCell ref="H28:H29"/>
    <mergeCell ref="A36:A47"/>
    <mergeCell ref="A1:A2"/>
    <mergeCell ref="H2:H3"/>
    <mergeCell ref="I2:I3"/>
    <mergeCell ref="A3:A35"/>
    <mergeCell ref="C3:C6"/>
    <mergeCell ref="H4:H7"/>
    <mergeCell ref="H46:H53"/>
  </mergeCells>
  <conditionalFormatting sqref="B43">
    <cfRule type="cellIs" dxfId="12" priority="1" operator="equal">
      <formula>"Yes"</formula>
    </cfRule>
    <cfRule type="cellIs" dxfId="11" priority="2" operator="equal">
      <formula>"No"</formula>
    </cfRule>
  </conditionalFormatting>
  <conditionalFormatting sqref="D36:D47">
    <cfRule type="cellIs" dxfId="10" priority="3" operator="equal">
      <formula>"Completed"</formula>
    </cfRule>
    <cfRule type="cellIs" dxfId="9" priority="4" operator="equal">
      <formula>"Not Started"</formula>
    </cfRule>
    <cfRule type="cellIs" dxfId="8" priority="5" operator="equal">
      <formula>"In Progress"</formula>
    </cfRule>
  </conditionalFormatting>
  <dataValidations count="1">
    <dataValidation type="list" allowBlank="1" showInputMessage="1" showErrorMessage="1" sqref="D36:D47" xr:uid="{55C317AD-4C32-4E8E-A0E8-57F3D19577E9}">
      <formula1>"Not Started, In Progress, Completed, NA"</formula1>
    </dataValidation>
  </dataValidations>
  <hyperlinks>
    <hyperlink ref="B2" r:id="rId1" display="https://support-sbox7.accenture.com/nav_to.do?uri=%2Fx_amspi_e2e_task_list.do%3Fsysparm_order_direction%3Ddesc%26sysparm_order%3Dsys_created_on%2520%26sysparm_view%3DAll%26sysparm_userpref_module%3Dad05155d1bde5c98d4c0437cdc4bcb86%26sysparm_clear_stack%3Dtrue" xr:uid="{12CF7582-BBFE-4950-B80E-6A761D05988F}"/>
    <hyperlink ref="B1" r:id="rId2" display="https://support-sbox7.accenture.com/procurement?id=e2e_guided_questions_page" xr:uid="{9B878E9A-FFE1-4D4E-B9AF-75BB91162785}"/>
    <hyperlink ref="B40" r:id="rId3" xr:uid="{90D658E3-2369-4384-9192-9C4E9AFBFCA1}"/>
    <hyperlink ref="B42" r:id="rId4" xr:uid="{89149B8D-DA0F-43BF-840A-D4C92C30B9EE}"/>
    <hyperlink ref="B43" r:id="rId5" xr:uid="{27719413-5479-4AF2-BF16-68F37FD57025}"/>
    <hyperlink ref="B47" r:id="rId6" xr:uid="{72058DF8-1C5D-49A2-AC95-5BBFA60BC8A1}"/>
    <hyperlink ref="B38" r:id="rId7" xr:uid="{0D7872A0-ACA5-4CC2-9842-537ABE392045}"/>
    <hyperlink ref="B41" r:id="rId8" xr:uid="{59A5F85C-1446-4B72-B554-323AB2669A9B}"/>
    <hyperlink ref="B44" r:id="rId9" xr:uid="{7E0B64D2-DF73-41A5-96A8-8F1B2318C4FB}"/>
    <hyperlink ref="B45" r:id="rId10" xr:uid="{8069F836-BD54-44BE-BD43-B15DB34421BA}"/>
  </hyperlinks>
  <pageMargins left="0.7" right="0.7" top="0.75" bottom="0.75" header="0.3" footer="0.3"/>
  <pageSetup orientation="portrait" r:id="rId11"/>
  <headerFooter>
    <oddHeader>&amp;C&amp;"Calibri"&amp;11&amp;K000000***Confidential***&amp;1#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2A3BE-A2B3-4446-84B3-998EC07C1E1B}">
  <sheetPr codeName="Sheet9">
    <tabColor theme="9"/>
  </sheetPr>
  <dimension ref="A1:U33"/>
  <sheetViews>
    <sheetView topLeftCell="G1" zoomScaleNormal="100" workbookViewId="0">
      <selection activeCell="G7" sqref="G7"/>
    </sheetView>
  </sheetViews>
  <sheetFormatPr defaultRowHeight="15"/>
  <cols>
    <col min="1" max="1" width="25.7109375" hidden="1" customWidth="1"/>
    <col min="2" max="2" width="25.7109375" style="78" hidden="1" customWidth="1"/>
    <col min="3" max="5" width="20.7109375" hidden="1" customWidth="1"/>
    <col min="6" max="6" width="19.5703125" hidden="1" customWidth="1"/>
    <col min="7" max="7" width="35.5703125" customWidth="1"/>
    <col min="8" max="8" width="25.42578125" customWidth="1"/>
    <col min="9" max="9" width="32.140625" customWidth="1"/>
    <col min="10" max="10" width="26.5703125" customWidth="1"/>
    <col min="13" max="13" width="36.28515625" customWidth="1"/>
    <col min="14" max="14" width="23.5703125" customWidth="1"/>
    <col min="15" max="15" width="12.7109375" customWidth="1"/>
    <col min="16" max="16" width="16.42578125" customWidth="1"/>
    <col min="18" max="18" width="28" customWidth="1"/>
    <col min="19" max="19" width="35.5703125" customWidth="1"/>
  </cols>
  <sheetData>
    <row r="1" spans="1:21" ht="15.75" thickBot="1">
      <c r="A1" s="854" t="s">
        <v>786</v>
      </c>
      <c r="B1" s="854"/>
      <c r="C1" s="854"/>
      <c r="D1" s="854"/>
      <c r="E1" s="854"/>
      <c r="G1" s="855" t="s">
        <v>787</v>
      </c>
      <c r="H1" s="855"/>
      <c r="I1" s="855"/>
      <c r="J1" s="855"/>
      <c r="M1" s="855" t="s">
        <v>786</v>
      </c>
      <c r="N1" s="855"/>
      <c r="O1" s="855"/>
      <c r="P1" s="855"/>
      <c r="R1" s="855" t="s">
        <v>788</v>
      </c>
      <c r="S1" s="855"/>
    </row>
    <row r="2" spans="1:21" s="57" customFormat="1" ht="60">
      <c r="A2" s="209" t="s">
        <v>789</v>
      </c>
      <c r="B2" s="209" t="s">
        <v>790</v>
      </c>
      <c r="C2" s="210" t="s">
        <v>791</v>
      </c>
      <c r="D2" s="210" t="s">
        <v>792</v>
      </c>
      <c r="E2" s="209" t="s">
        <v>793</v>
      </c>
      <c r="G2" s="211" t="s">
        <v>790</v>
      </c>
      <c r="H2" s="212" t="s">
        <v>794</v>
      </c>
      <c r="I2" s="212" t="s">
        <v>795</v>
      </c>
      <c r="J2" s="212" t="s">
        <v>796</v>
      </c>
      <c r="M2" s="211" t="s">
        <v>790</v>
      </c>
      <c r="N2" s="212" t="s">
        <v>794</v>
      </c>
      <c r="O2" s="212" t="s">
        <v>795</v>
      </c>
      <c r="P2" s="212" t="s">
        <v>796</v>
      </c>
      <c r="R2" s="211" t="s">
        <v>790</v>
      </c>
      <c r="S2" s="212" t="s">
        <v>797</v>
      </c>
      <c r="T2"/>
      <c r="U2"/>
    </row>
    <row r="3" spans="1:21" s="57" customFormat="1">
      <c r="A3" s="209"/>
      <c r="B3" s="209"/>
      <c r="C3" s="210"/>
      <c r="D3" s="210"/>
      <c r="E3" s="209"/>
      <c r="G3" s="272" t="s">
        <v>399</v>
      </c>
      <c r="H3" s="24"/>
      <c r="I3" s="24"/>
      <c r="J3" s="24"/>
      <c r="M3" s="270"/>
      <c r="N3" s="271"/>
      <c r="O3" s="271"/>
      <c r="P3" s="271"/>
      <c r="R3" s="271"/>
      <c r="S3" s="271"/>
      <c r="T3"/>
      <c r="U3"/>
    </row>
    <row r="4" spans="1:21">
      <c r="A4" s="213" t="s">
        <v>798</v>
      </c>
      <c r="B4" s="213" t="s">
        <v>767</v>
      </c>
      <c r="C4" s="214" t="s">
        <v>383</v>
      </c>
      <c r="D4" s="214" t="s">
        <v>407</v>
      </c>
      <c r="E4" s="214" t="s">
        <v>407</v>
      </c>
      <c r="G4" s="273" t="s">
        <v>767</v>
      </c>
      <c r="H4" s="24" t="s">
        <v>383</v>
      </c>
      <c r="I4" s="24" t="s">
        <v>383</v>
      </c>
      <c r="J4" s="24" t="s">
        <v>383</v>
      </c>
      <c r="M4" s="272" t="s">
        <v>399</v>
      </c>
      <c r="N4" s="24"/>
      <c r="O4" s="24"/>
      <c r="P4" s="24"/>
      <c r="R4" s="272" t="s">
        <v>399</v>
      </c>
      <c r="S4" s="276"/>
    </row>
    <row r="5" spans="1:21">
      <c r="A5" s="213" t="s">
        <v>799</v>
      </c>
      <c r="B5" s="213" t="s">
        <v>800</v>
      </c>
      <c r="C5" s="214" t="s">
        <v>383</v>
      </c>
      <c r="D5" s="214" t="s">
        <v>407</v>
      </c>
      <c r="E5" s="214" t="s">
        <v>407</v>
      </c>
      <c r="G5" s="273" t="s">
        <v>768</v>
      </c>
      <c r="H5" s="24" t="s">
        <v>383</v>
      </c>
      <c r="I5" s="24" t="s">
        <v>383</v>
      </c>
      <c r="J5" s="24" t="s">
        <v>383</v>
      </c>
      <c r="M5" s="273" t="s">
        <v>767</v>
      </c>
      <c r="N5" s="24" t="s">
        <v>383</v>
      </c>
      <c r="O5" s="24" t="s">
        <v>383</v>
      </c>
      <c r="P5" s="24" t="s">
        <v>383</v>
      </c>
      <c r="R5" s="273" t="s">
        <v>767</v>
      </c>
      <c r="S5" s="276"/>
    </row>
    <row r="6" spans="1:21" ht="15.75" customHeight="1">
      <c r="A6" s="213" t="s">
        <v>801</v>
      </c>
      <c r="B6" s="216" t="s">
        <v>802</v>
      </c>
      <c r="C6" s="214" t="s">
        <v>383</v>
      </c>
      <c r="D6" s="214" t="s">
        <v>407</v>
      </c>
      <c r="E6" s="214" t="s">
        <v>407</v>
      </c>
      <c r="G6" s="272" t="s">
        <v>411</v>
      </c>
      <c r="H6" s="24" t="s">
        <v>383</v>
      </c>
      <c r="I6" s="24" t="s">
        <v>383</v>
      </c>
      <c r="J6" s="24" t="s">
        <v>383</v>
      </c>
      <c r="M6" s="273" t="s">
        <v>768</v>
      </c>
      <c r="N6" s="24" t="s">
        <v>383</v>
      </c>
      <c r="O6" s="24" t="s">
        <v>383</v>
      </c>
      <c r="P6" s="24" t="s">
        <v>383</v>
      </c>
      <c r="R6" s="273" t="s">
        <v>768</v>
      </c>
      <c r="S6" s="1"/>
    </row>
    <row r="7" spans="1:21">
      <c r="A7" s="213" t="s">
        <v>803</v>
      </c>
      <c r="B7" s="213" t="s">
        <v>804</v>
      </c>
      <c r="C7" s="214" t="s">
        <v>383</v>
      </c>
      <c r="D7" s="214" t="s">
        <v>407</v>
      </c>
      <c r="E7" s="214" t="s">
        <v>407</v>
      </c>
      <c r="G7" s="272" t="s">
        <v>769</v>
      </c>
      <c r="H7" s="24" t="s">
        <v>383</v>
      </c>
      <c r="I7" s="24" t="s">
        <v>383</v>
      </c>
      <c r="J7" s="24" t="s">
        <v>383</v>
      </c>
      <c r="M7" s="272" t="s">
        <v>411</v>
      </c>
      <c r="N7" s="24" t="s">
        <v>383</v>
      </c>
      <c r="O7" s="24" t="s">
        <v>383</v>
      </c>
      <c r="P7" s="24" t="s">
        <v>383</v>
      </c>
      <c r="R7" s="272" t="s">
        <v>411</v>
      </c>
      <c r="S7" s="276"/>
    </row>
    <row r="8" spans="1:21">
      <c r="A8" s="213" t="s">
        <v>805</v>
      </c>
      <c r="B8" s="215" t="s">
        <v>806</v>
      </c>
      <c r="C8" s="214" t="s">
        <v>383</v>
      </c>
      <c r="D8" s="214" t="s">
        <v>407</v>
      </c>
      <c r="E8" s="214" t="s">
        <v>407</v>
      </c>
      <c r="G8" s="274" t="s">
        <v>770</v>
      </c>
      <c r="H8" s="24" t="s">
        <v>383</v>
      </c>
      <c r="I8" s="24" t="s">
        <v>383</v>
      </c>
      <c r="J8" s="24" t="s">
        <v>383</v>
      </c>
      <c r="M8" s="272" t="s">
        <v>769</v>
      </c>
      <c r="N8" s="24" t="s">
        <v>383</v>
      </c>
      <c r="O8" s="24" t="s">
        <v>383</v>
      </c>
      <c r="P8" s="24" t="s">
        <v>383</v>
      </c>
      <c r="R8" s="272" t="s">
        <v>769</v>
      </c>
      <c r="S8" s="276"/>
    </row>
    <row r="9" spans="1:21">
      <c r="A9" s="213" t="s">
        <v>807</v>
      </c>
      <c r="B9" s="213" t="s">
        <v>808</v>
      </c>
      <c r="C9" s="214" t="s">
        <v>383</v>
      </c>
      <c r="D9" s="214" t="s">
        <v>407</v>
      </c>
      <c r="E9" s="214" t="s">
        <v>407</v>
      </c>
      <c r="G9" s="272" t="s">
        <v>771</v>
      </c>
      <c r="H9" s="24" t="s">
        <v>383</v>
      </c>
      <c r="I9" s="24"/>
      <c r="J9" s="24" t="s">
        <v>383</v>
      </c>
      <c r="M9" s="274" t="s">
        <v>770</v>
      </c>
      <c r="N9" s="24" t="s">
        <v>383</v>
      </c>
      <c r="O9" s="24" t="s">
        <v>383</v>
      </c>
      <c r="P9" s="24" t="s">
        <v>383</v>
      </c>
      <c r="R9" s="274" t="s">
        <v>770</v>
      </c>
      <c r="S9" s="276"/>
    </row>
    <row r="10" spans="1:21">
      <c r="A10" s="213" t="s">
        <v>809</v>
      </c>
      <c r="B10" s="216" t="s">
        <v>810</v>
      </c>
      <c r="C10" s="214" t="s">
        <v>383</v>
      </c>
      <c r="D10" s="214" t="s">
        <v>407</v>
      </c>
      <c r="E10" s="214" t="s">
        <v>407</v>
      </c>
      <c r="G10" s="273" t="s">
        <v>772</v>
      </c>
      <c r="H10" s="24" t="s">
        <v>383</v>
      </c>
      <c r="I10" s="24" t="s">
        <v>383</v>
      </c>
      <c r="J10" s="24" t="s">
        <v>383</v>
      </c>
      <c r="M10" s="272" t="s">
        <v>771</v>
      </c>
      <c r="N10" s="24" t="s">
        <v>383</v>
      </c>
      <c r="O10" s="24"/>
      <c r="P10" s="24" t="s">
        <v>383</v>
      </c>
      <c r="R10" s="272" t="s">
        <v>771</v>
      </c>
      <c r="S10" s="276"/>
    </row>
    <row r="11" spans="1:21" ht="15.75" customHeight="1">
      <c r="A11" s="213" t="s">
        <v>811</v>
      </c>
      <c r="B11" s="216" t="s">
        <v>812</v>
      </c>
      <c r="C11" s="214" t="s">
        <v>383</v>
      </c>
      <c r="D11" s="214" t="s">
        <v>407</v>
      </c>
      <c r="E11" s="214" t="s">
        <v>407</v>
      </c>
      <c r="G11" s="272" t="s">
        <v>402</v>
      </c>
      <c r="H11" s="24" t="s">
        <v>383</v>
      </c>
      <c r="I11" s="24" t="s">
        <v>383</v>
      </c>
      <c r="J11" s="24" t="s">
        <v>383</v>
      </c>
      <c r="M11" s="273" t="s">
        <v>772</v>
      </c>
      <c r="N11" s="24" t="s">
        <v>383</v>
      </c>
      <c r="O11" s="24" t="s">
        <v>383</v>
      </c>
      <c r="P11" s="24" t="s">
        <v>383</v>
      </c>
      <c r="R11" s="273" t="s">
        <v>772</v>
      </c>
      <c r="S11" s="1"/>
    </row>
    <row r="12" spans="1:21">
      <c r="A12" s="213" t="s">
        <v>813</v>
      </c>
      <c r="B12" s="213" t="s">
        <v>814</v>
      </c>
      <c r="C12" s="214" t="s">
        <v>383</v>
      </c>
      <c r="D12" s="214" t="s">
        <v>407</v>
      </c>
      <c r="E12" s="214" t="s">
        <v>407</v>
      </c>
      <c r="G12" s="275"/>
      <c r="M12" s="272" t="s">
        <v>402</v>
      </c>
      <c r="N12" s="24" t="s">
        <v>383</v>
      </c>
      <c r="O12" s="24" t="s">
        <v>383</v>
      </c>
      <c r="P12" s="24" t="s">
        <v>383</v>
      </c>
      <c r="R12" s="272" t="s">
        <v>402</v>
      </c>
      <c r="S12" s="1"/>
    </row>
    <row r="13" spans="1:21" ht="27.75" customHeight="1"/>
    <row r="14" spans="1:21" ht="27.75" customHeight="1">
      <c r="B14" s="217" t="s">
        <v>815</v>
      </c>
    </row>
    <row r="15" spans="1:21" ht="27.75" customHeight="1" thickBot="1">
      <c r="G15" s="856" t="s">
        <v>816</v>
      </c>
      <c r="H15" s="856"/>
    </row>
    <row r="16" spans="1:21" ht="27.75" customHeight="1">
      <c r="G16" s="211" t="s">
        <v>790</v>
      </c>
      <c r="H16" s="212" t="s">
        <v>817</v>
      </c>
    </row>
    <row r="17" spans="7:10" ht="18" hidden="1" customHeight="1">
      <c r="G17" s="272" t="s">
        <v>399</v>
      </c>
      <c r="H17" s="276" t="s">
        <v>383</v>
      </c>
    </row>
    <row r="18" spans="7:10" ht="18" hidden="1" customHeight="1">
      <c r="G18" s="273" t="s">
        <v>767</v>
      </c>
      <c r="H18" s="276" t="s">
        <v>383</v>
      </c>
    </row>
    <row r="19" spans="7:10" ht="18" hidden="1" customHeight="1">
      <c r="G19" s="273" t="s">
        <v>768</v>
      </c>
      <c r="H19" s="276" t="s">
        <v>383</v>
      </c>
    </row>
    <row r="20" spans="7:10" hidden="1">
      <c r="G20" s="272" t="s">
        <v>411</v>
      </c>
      <c r="H20" s="276" t="s">
        <v>383</v>
      </c>
    </row>
    <row r="21" spans="7:10">
      <c r="G21" s="272" t="s">
        <v>402</v>
      </c>
      <c r="H21" s="276" t="s">
        <v>407</v>
      </c>
    </row>
    <row r="22" spans="7:10" ht="16.5" hidden="1" customHeight="1">
      <c r="G22" s="272" t="s">
        <v>771</v>
      </c>
      <c r="H22" s="276" t="s">
        <v>383</v>
      </c>
    </row>
    <row r="23" spans="7:10" ht="15.75" hidden="1" customHeight="1">
      <c r="G23" s="274" t="s">
        <v>770</v>
      </c>
      <c r="H23" s="276" t="s">
        <v>383</v>
      </c>
      <c r="J23" s="73"/>
    </row>
    <row r="24" spans="7:10" ht="18.75" customHeight="1">
      <c r="G24" s="272" t="s">
        <v>769</v>
      </c>
      <c r="H24" s="276" t="s">
        <v>407</v>
      </c>
    </row>
    <row r="25" spans="7:10">
      <c r="G25" s="273" t="s">
        <v>772</v>
      </c>
      <c r="H25" s="276" t="s">
        <v>407</v>
      </c>
    </row>
    <row r="33" spans="2:2">
      <c r="B33" s="217" t="s">
        <v>818</v>
      </c>
    </row>
  </sheetData>
  <mergeCells count="5">
    <mergeCell ref="A1:E1"/>
    <mergeCell ref="G1:J1"/>
    <mergeCell ref="M1:P1"/>
    <mergeCell ref="R1:S1"/>
    <mergeCell ref="G15:H15"/>
  </mergeCells>
  <conditionalFormatting sqref="G23">
    <cfRule type="cellIs" dxfId="7" priority="11" operator="equal">
      <formula>"Yes"</formula>
    </cfRule>
    <cfRule type="cellIs" dxfId="6" priority="12" operator="equal">
      <formula>"No"</formula>
    </cfRule>
  </conditionalFormatting>
  <conditionalFormatting sqref="H3:J11 C4:E12 N4:P12 G8 H17:H25">
    <cfRule type="cellIs" dxfId="5" priority="13" operator="equal">
      <formula>"Yes"</formula>
    </cfRule>
    <cfRule type="cellIs" dxfId="4" priority="14" operator="equal">
      <formula>"No"</formula>
    </cfRule>
  </conditionalFormatting>
  <conditionalFormatting sqref="M9">
    <cfRule type="cellIs" dxfId="3" priority="3" operator="equal">
      <formula>"Yes"</formula>
    </cfRule>
    <cfRule type="cellIs" dxfId="2" priority="4" operator="equal">
      <formula>"No"</formula>
    </cfRule>
  </conditionalFormatting>
  <conditionalFormatting sqref="R9">
    <cfRule type="cellIs" dxfId="1" priority="1" operator="equal">
      <formula>"Yes"</formula>
    </cfRule>
    <cfRule type="cellIs" dxfId="0" priority="2" operator="equal">
      <formula>"No"</formula>
    </cfRule>
  </conditionalFormatting>
  <dataValidations count="1">
    <dataValidation type="list" allowBlank="1" showInputMessage="1" showErrorMessage="1" sqref="H17:H25 H3:J11 C4:E12 N4:P12" xr:uid="{E87A7533-4FCF-4FDA-829D-6F16C29C7C72}">
      <formula1>"Yes, No"</formula1>
    </dataValidation>
  </dataValidations>
  <hyperlinks>
    <hyperlink ref="B9" r:id="rId1" display="mailto:princess.d.medroso@accenture.com" xr:uid="{AB71D92B-3C15-4F23-A1F3-FC1A1A5DB0BB}"/>
    <hyperlink ref="B12" r:id="rId2" display="mailto:T48176.01.BuyTstAuto@accenture.com" xr:uid="{9B0296B6-98FA-45A6-AEF9-2B04DEE3E5CD}"/>
    <hyperlink ref="B10" r:id="rId3" display="mailto:jeanne.p.garlota@accenture.com" xr:uid="{300AB267-986B-40DF-ABB3-032EFFA0C424}"/>
    <hyperlink ref="B11" r:id="rId4" display="mailto:angelica.tindoc@accenture.com" xr:uid="{4A3141CC-E2D0-4C35-BD5F-2E27109F3736}"/>
    <hyperlink ref="G5" r:id="rId5" xr:uid="{73CAABE5-D5B2-410D-AEA2-63122674BEC3}"/>
    <hyperlink ref="G7" r:id="rId6" xr:uid="{3D51542C-F01C-42A5-A210-864092D78B9B}"/>
    <hyperlink ref="G8" r:id="rId7" xr:uid="{389D209F-CBB2-44A7-9297-305B96FE6DB3}"/>
    <hyperlink ref="G11" r:id="rId8" xr:uid="{D570877A-F3A1-4BFA-B83F-244A3A49A3A8}"/>
    <hyperlink ref="G3" r:id="rId9" xr:uid="{82555E0E-DE43-4F65-BAF4-1E219CC9A50A}"/>
    <hyperlink ref="G6" r:id="rId10" xr:uid="{2FE9D252-38AC-4642-B089-B8033C214A60}"/>
    <hyperlink ref="G19" r:id="rId11" xr:uid="{E6CCCC9B-E128-43B6-817E-2238DA9B8B6D}"/>
    <hyperlink ref="G24" r:id="rId12" xr:uid="{8FF2FF5F-A6B6-4E94-AA0A-E0A5FC2408ED}"/>
    <hyperlink ref="G23" r:id="rId13" xr:uid="{22D57282-9F49-4186-A42E-80AFAB90BCF2}"/>
    <hyperlink ref="G21" r:id="rId14" xr:uid="{4E9DE635-11E2-4477-834F-3E6DD24F7143}"/>
    <hyperlink ref="G17" r:id="rId15" xr:uid="{7ABF4499-8758-4194-985C-9D90DFCAF1E4}"/>
    <hyperlink ref="G20" r:id="rId16" xr:uid="{A6F8BA6B-DD94-4EE6-8BBB-453613A83AC1}"/>
    <hyperlink ref="M6" r:id="rId17" xr:uid="{42360E12-32A7-4FAA-A21E-FB5BEE05C411}"/>
    <hyperlink ref="M8" r:id="rId18" xr:uid="{2BD1C212-8C3D-4150-B5F5-8F4DE40FF692}"/>
    <hyperlink ref="M9" r:id="rId19" xr:uid="{AE87827A-7018-4183-9C6B-C72DEC13E282}"/>
    <hyperlink ref="M12" r:id="rId20" xr:uid="{8F5131B7-8998-4714-8794-84FD5D86DCFF}"/>
    <hyperlink ref="M4" r:id="rId21" xr:uid="{43E5BC52-9DAF-49DA-BEDA-35248F8C89F5}"/>
    <hyperlink ref="M7" r:id="rId22" xr:uid="{D133804B-727E-4BC8-B568-690E9C2891B3}"/>
    <hyperlink ref="R6" r:id="rId23" xr:uid="{5B230934-2939-4DA5-A8E8-A230723D4DFD}"/>
    <hyperlink ref="R8" r:id="rId24" xr:uid="{09DF4CB4-E3FF-460F-80EA-70FE57CE7BD0}"/>
    <hyperlink ref="R9" r:id="rId25" xr:uid="{9592E98C-7CAE-4B28-8EB1-64BD3E200D09}"/>
    <hyperlink ref="R12" r:id="rId26" xr:uid="{0816CFFB-F8F6-409E-9375-82BF6A7D437F}"/>
    <hyperlink ref="R4" r:id="rId27" xr:uid="{B60DC8E2-D72B-4312-A2AD-F69398AFAFFB}"/>
    <hyperlink ref="R7" r:id="rId28" xr:uid="{257CD9E1-4409-4E07-9BB1-701647E3EF45}"/>
  </hyperlinks>
  <pageMargins left="0.7" right="0.7" top="0.75" bottom="0.75" header="0.3" footer="0.3"/>
  <pageSetup orientation="portrait" r:id="rId29"/>
  <headerFooter>
    <oddHeader>&amp;C&amp;"Calibri"&amp;11&amp;K000000***Confidential***&amp;1#</oddHeader>
  </headerFooter>
  <drawing r:id="rId3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EB30D-131C-459F-AB9F-95F685EF5B09}">
  <dimension ref="A1:H53"/>
  <sheetViews>
    <sheetView zoomScale="115" zoomScaleNormal="115" workbookViewId="0">
      <selection sqref="A1:H2"/>
    </sheetView>
  </sheetViews>
  <sheetFormatPr defaultRowHeight="15"/>
  <cols>
    <col min="1" max="1" width="58.140625" customWidth="1"/>
    <col min="2" max="2" width="16.28515625" customWidth="1"/>
    <col min="3" max="3" width="23.28515625" customWidth="1"/>
    <col min="4" max="4" width="22.140625" customWidth="1"/>
    <col min="5" max="5" width="21" customWidth="1"/>
    <col min="6" max="6" width="22" customWidth="1"/>
    <col min="7" max="7" width="23" customWidth="1"/>
    <col min="8" max="8" width="26.5703125" customWidth="1"/>
  </cols>
  <sheetData>
    <row r="1" spans="1:8" ht="24.75" customHeight="1" thickTop="1" thickBot="1">
      <c r="A1" s="661" t="s">
        <v>369</v>
      </c>
      <c r="B1" s="661" t="s">
        <v>370</v>
      </c>
      <c r="C1" s="661" t="s">
        <v>371</v>
      </c>
      <c r="D1" s="661" t="s">
        <v>372</v>
      </c>
      <c r="E1" s="661" t="s">
        <v>373</v>
      </c>
      <c r="F1" s="661" t="s">
        <v>374</v>
      </c>
      <c r="G1" s="661" t="s">
        <v>375</v>
      </c>
      <c r="H1" s="661" t="s">
        <v>376</v>
      </c>
    </row>
    <row r="2" spans="1:8" ht="27.75" customHeight="1" thickTop="1" thickBot="1">
      <c r="A2" s="666" t="s">
        <v>387</v>
      </c>
      <c r="B2" s="662" t="s">
        <v>388</v>
      </c>
      <c r="C2" s="663" t="s">
        <v>819</v>
      </c>
      <c r="D2" s="663" t="s">
        <v>820</v>
      </c>
      <c r="E2" s="664" t="s">
        <v>821</v>
      </c>
      <c r="F2" s="664" t="s">
        <v>822</v>
      </c>
      <c r="G2" s="665" t="s">
        <v>392</v>
      </c>
      <c r="H2" s="665" t="s">
        <v>823</v>
      </c>
    </row>
    <row r="3" spans="1:8" ht="15.75" thickTop="1"/>
    <row r="14" spans="1:8">
      <c r="A14" s="670" t="s">
        <v>549</v>
      </c>
      <c r="B14" s="670" t="s">
        <v>550</v>
      </c>
      <c r="C14" s="670" t="s">
        <v>551</v>
      </c>
      <c r="D14" s="670" t="s">
        <v>666</v>
      </c>
      <c r="E14" s="670" t="s">
        <v>554</v>
      </c>
    </row>
    <row r="15" spans="1:8" ht="15.75">
      <c r="A15" s="670" t="s">
        <v>521</v>
      </c>
      <c r="B15" s="671">
        <v>15</v>
      </c>
      <c r="C15" s="671" t="s">
        <v>824</v>
      </c>
      <c r="D15" s="672">
        <v>46115</v>
      </c>
      <c r="E15" s="673"/>
    </row>
    <row r="16" spans="1:8" ht="15.75">
      <c r="A16" s="670" t="s">
        <v>521</v>
      </c>
      <c r="B16" s="671">
        <v>15</v>
      </c>
      <c r="C16" s="671" t="s">
        <v>825</v>
      </c>
      <c r="D16" s="672">
        <v>46129</v>
      </c>
      <c r="E16" s="673"/>
    </row>
    <row r="17" spans="1:5" ht="15.75">
      <c r="A17" s="670" t="s">
        <v>521</v>
      </c>
      <c r="B17" s="671">
        <v>16</v>
      </c>
      <c r="C17" s="671" t="s">
        <v>826</v>
      </c>
      <c r="D17" s="672">
        <v>46129</v>
      </c>
      <c r="E17" s="673"/>
    </row>
    <row r="18" spans="1:5" ht="15.75">
      <c r="A18" s="670" t="s">
        <v>521</v>
      </c>
      <c r="B18" s="671">
        <v>16</v>
      </c>
      <c r="C18" s="671" t="s">
        <v>827</v>
      </c>
      <c r="D18" s="672">
        <v>46143</v>
      </c>
      <c r="E18" s="673"/>
    </row>
    <row r="19" spans="1:5">
      <c r="A19" s="670" t="s">
        <v>521</v>
      </c>
      <c r="B19" s="671">
        <v>17</v>
      </c>
      <c r="C19" s="671" t="s">
        <v>828</v>
      </c>
      <c r="D19" s="672">
        <v>46143</v>
      </c>
      <c r="E19" s="674"/>
    </row>
    <row r="20" spans="1:5">
      <c r="A20" s="670" t="s">
        <v>521</v>
      </c>
      <c r="B20" s="671">
        <v>17</v>
      </c>
      <c r="C20" s="671" t="s">
        <v>829</v>
      </c>
      <c r="D20" s="672">
        <v>46157</v>
      </c>
      <c r="E20" s="674"/>
    </row>
    <row r="21" spans="1:5" ht="15.75">
      <c r="A21" s="670" t="s">
        <v>521</v>
      </c>
      <c r="B21" s="671">
        <v>18</v>
      </c>
      <c r="C21" s="671" t="s">
        <v>830</v>
      </c>
      <c r="D21" s="672">
        <v>46157</v>
      </c>
      <c r="E21" s="673"/>
    </row>
    <row r="22" spans="1:5">
      <c r="A22" s="670" t="s">
        <v>521</v>
      </c>
      <c r="B22" s="671">
        <v>18</v>
      </c>
      <c r="C22" s="671" t="s">
        <v>831</v>
      </c>
      <c r="D22" s="672">
        <v>46171</v>
      </c>
      <c r="E22" s="672">
        <v>46178</v>
      </c>
    </row>
    <row r="23" spans="1:5" ht="15.75">
      <c r="A23" s="670" t="s">
        <v>521</v>
      </c>
      <c r="B23" s="671">
        <v>18</v>
      </c>
      <c r="C23" s="671" t="s">
        <v>832</v>
      </c>
      <c r="D23" s="672">
        <v>46171</v>
      </c>
      <c r="E23" s="673"/>
    </row>
    <row r="24" spans="1:5" ht="15.75">
      <c r="A24" s="670" t="s">
        <v>521</v>
      </c>
      <c r="B24" s="671">
        <v>18</v>
      </c>
      <c r="C24" s="671" t="s">
        <v>833</v>
      </c>
      <c r="D24" s="672">
        <v>46171</v>
      </c>
      <c r="E24" s="673"/>
    </row>
    <row r="25" spans="1:5">
      <c r="A25" s="670" t="s">
        <v>521</v>
      </c>
      <c r="B25" s="671">
        <v>18</v>
      </c>
      <c r="C25" s="671" t="s">
        <v>834</v>
      </c>
      <c r="D25" s="672">
        <v>46171</v>
      </c>
      <c r="E25" s="672">
        <v>46177</v>
      </c>
    </row>
    <row r="33" spans="1:5">
      <c r="A33" s="682" t="s">
        <v>835</v>
      </c>
      <c r="B33" s="682" t="s">
        <v>836</v>
      </c>
      <c r="C33" s="682" t="s">
        <v>837</v>
      </c>
      <c r="D33" s="682" t="s">
        <v>838</v>
      </c>
      <c r="E33" s="682" t="s">
        <v>839</v>
      </c>
    </row>
    <row r="34" spans="1:5" ht="27">
      <c r="A34" s="683" t="s">
        <v>840</v>
      </c>
      <c r="B34" s="684" t="s">
        <v>841</v>
      </c>
      <c r="C34" s="685" t="s">
        <v>842</v>
      </c>
      <c r="D34" s="683" t="s">
        <v>843</v>
      </c>
      <c r="E34" s="683" t="s">
        <v>844</v>
      </c>
    </row>
    <row r="35" spans="1:5" ht="27">
      <c r="A35" s="683" t="s">
        <v>845</v>
      </c>
      <c r="B35" s="684" t="s">
        <v>846</v>
      </c>
      <c r="C35" s="685" t="s">
        <v>842</v>
      </c>
      <c r="D35" s="683" t="s">
        <v>843</v>
      </c>
      <c r="E35" s="683" t="s">
        <v>844</v>
      </c>
    </row>
    <row r="36" spans="1:5" ht="40.5">
      <c r="A36" s="683" t="s">
        <v>847</v>
      </c>
      <c r="B36" s="684" t="s">
        <v>848</v>
      </c>
      <c r="C36" s="685" t="s">
        <v>842</v>
      </c>
      <c r="D36" s="683" t="s">
        <v>849</v>
      </c>
      <c r="E36" s="683" t="s">
        <v>844</v>
      </c>
    </row>
    <row r="37" spans="1:5" ht="27">
      <c r="A37" s="683" t="s">
        <v>850</v>
      </c>
      <c r="B37" s="684" t="s">
        <v>851</v>
      </c>
      <c r="C37" s="685" t="s">
        <v>842</v>
      </c>
      <c r="D37" s="683" t="s">
        <v>852</v>
      </c>
      <c r="E37" s="683" t="s">
        <v>853</v>
      </c>
    </row>
    <row r="38" spans="1:5" ht="27">
      <c r="A38" s="683" t="s">
        <v>854</v>
      </c>
      <c r="B38" s="684" t="s">
        <v>855</v>
      </c>
      <c r="C38" s="685" t="s">
        <v>842</v>
      </c>
      <c r="D38" s="683" t="s">
        <v>852</v>
      </c>
      <c r="E38" s="683" t="s">
        <v>853</v>
      </c>
    </row>
    <row r="39" spans="1:5">
      <c r="A39" s="683" t="s">
        <v>856</v>
      </c>
      <c r="B39" s="684" t="s">
        <v>857</v>
      </c>
      <c r="C39" s="685" t="s">
        <v>842</v>
      </c>
      <c r="D39" s="683" t="s">
        <v>858</v>
      </c>
      <c r="E39" s="683" t="s">
        <v>853</v>
      </c>
    </row>
    <row r="40" spans="1:5" ht="40.5">
      <c r="A40" s="683" t="s">
        <v>859</v>
      </c>
      <c r="B40" s="684" t="s">
        <v>860</v>
      </c>
      <c r="C40" s="685" t="s">
        <v>842</v>
      </c>
      <c r="D40" s="683" t="s">
        <v>858</v>
      </c>
      <c r="E40" s="683" t="s">
        <v>853</v>
      </c>
    </row>
    <row r="41" spans="1:5" ht="27">
      <c r="A41" s="683" t="s">
        <v>861</v>
      </c>
      <c r="B41" s="684" t="s">
        <v>862</v>
      </c>
      <c r="C41" s="685" t="s">
        <v>842</v>
      </c>
      <c r="D41" s="683" t="s">
        <v>863</v>
      </c>
      <c r="E41" s="683" t="s">
        <v>853</v>
      </c>
    </row>
    <row r="42" spans="1:5" ht="27">
      <c r="A42" s="683" t="s">
        <v>864</v>
      </c>
      <c r="B42" s="684" t="s">
        <v>865</v>
      </c>
      <c r="C42" s="685" t="s">
        <v>842</v>
      </c>
      <c r="D42" s="686" t="s">
        <v>863</v>
      </c>
      <c r="E42" s="686" t="s">
        <v>853</v>
      </c>
    </row>
    <row r="43" spans="1:5" ht="27">
      <c r="A43" s="687" t="s">
        <v>866</v>
      </c>
      <c r="B43" s="688" t="s">
        <v>867</v>
      </c>
      <c r="C43" s="689" t="s">
        <v>842</v>
      </c>
      <c r="D43" s="687" t="s">
        <v>863</v>
      </c>
      <c r="E43" s="687" t="s">
        <v>868</v>
      </c>
    </row>
    <row r="44" spans="1:5" ht="27">
      <c r="A44" s="690" t="s">
        <v>869</v>
      </c>
      <c r="B44" s="691" t="s">
        <v>870</v>
      </c>
      <c r="C44" s="689" t="s">
        <v>842</v>
      </c>
      <c r="D44" s="690" t="s">
        <v>863</v>
      </c>
      <c r="E44" s="690" t="s">
        <v>853</v>
      </c>
    </row>
    <row r="45" spans="1:5" ht="27">
      <c r="A45" s="687" t="s">
        <v>871</v>
      </c>
      <c r="B45" s="688" t="s">
        <v>872</v>
      </c>
      <c r="C45" s="689" t="s">
        <v>842</v>
      </c>
      <c r="D45" s="690" t="s">
        <v>863</v>
      </c>
      <c r="E45" s="690" t="s">
        <v>853</v>
      </c>
    </row>
    <row r="46" spans="1:5" ht="27">
      <c r="A46" s="692" t="s">
        <v>873</v>
      </c>
      <c r="B46" s="693" t="s">
        <v>874</v>
      </c>
      <c r="C46" s="694" t="s">
        <v>842</v>
      </c>
      <c r="D46" s="692" t="s">
        <v>863</v>
      </c>
      <c r="E46" s="692" t="s">
        <v>868</v>
      </c>
    </row>
    <row r="47" spans="1:5" ht="27">
      <c r="A47" s="695" t="s">
        <v>325</v>
      </c>
      <c r="B47" s="695">
        <v>1131503</v>
      </c>
      <c r="C47" s="689" t="s">
        <v>842</v>
      </c>
      <c r="D47" s="687">
        <v>20</v>
      </c>
      <c r="E47" s="687" t="s">
        <v>853</v>
      </c>
    </row>
    <row r="48" spans="1:5" ht="27">
      <c r="A48" s="695" t="s">
        <v>314</v>
      </c>
      <c r="B48" s="695">
        <v>1131593</v>
      </c>
      <c r="C48" s="689" t="s">
        <v>842</v>
      </c>
      <c r="D48" s="687">
        <v>20</v>
      </c>
      <c r="E48" s="687" t="s">
        <v>853</v>
      </c>
    </row>
    <row r="49" spans="1:5">
      <c r="A49" s="679"/>
      <c r="B49" s="680"/>
      <c r="C49" s="681"/>
      <c r="D49" s="679"/>
      <c r="E49" s="679"/>
    </row>
    <row r="51" spans="1:5">
      <c r="A51" s="678" t="s">
        <v>875</v>
      </c>
      <c r="B51" s="678" t="s">
        <v>876</v>
      </c>
      <c r="C51" s="678" t="s">
        <v>877</v>
      </c>
      <c r="D51" s="678" t="s">
        <v>878</v>
      </c>
      <c r="E51" s="678" t="s">
        <v>879</v>
      </c>
    </row>
    <row r="52" spans="1:5" ht="25.5">
      <c r="A52" s="675" t="s">
        <v>880</v>
      </c>
      <c r="B52" s="676" t="s">
        <v>881</v>
      </c>
      <c r="C52" s="677" t="s">
        <v>842</v>
      </c>
      <c r="D52" s="675" t="s">
        <v>858</v>
      </c>
      <c r="E52" s="675" t="s">
        <v>853</v>
      </c>
    </row>
    <row r="53" spans="1:5" ht="25.5">
      <c r="A53" s="675" t="s">
        <v>882</v>
      </c>
      <c r="B53" s="676" t="s">
        <v>883</v>
      </c>
      <c r="C53" s="677" t="s">
        <v>842</v>
      </c>
      <c r="D53" s="675" t="s">
        <v>863</v>
      </c>
      <c r="E53" s="675" t="s">
        <v>853</v>
      </c>
    </row>
  </sheetData>
  <hyperlinks>
    <hyperlink ref="B34" r:id="rId1" xr:uid="{BAD1C929-1D43-49FC-8FF6-6354A1F4DC92}"/>
    <hyperlink ref="B35" r:id="rId2" xr:uid="{45D96120-A6A4-494C-B877-44AB1DF93218}"/>
    <hyperlink ref="B36" r:id="rId3" xr:uid="{5B19DFC5-45A8-4568-9023-6D8B64B5DD0D}"/>
    <hyperlink ref="B37" r:id="rId4" xr:uid="{C2CFDE2A-AA33-4234-ABD4-1E03D4C64295}"/>
    <hyperlink ref="B38" r:id="rId5" xr:uid="{D58A8601-86E9-4806-84DB-254409E56DA2}"/>
    <hyperlink ref="B39" r:id="rId6" xr:uid="{5486C105-7054-4AC9-BC9C-46FC3BB394C7}"/>
    <hyperlink ref="B40" r:id="rId7" xr:uid="{84D68CC7-35C3-4DD3-A67B-90FDEFD755BC}"/>
    <hyperlink ref="B41" r:id="rId8" xr:uid="{5A700A38-7A19-4347-AF95-2C3E5915407D}"/>
    <hyperlink ref="B42" r:id="rId9" xr:uid="{57EBE3C0-58C1-4672-80B3-9123B6A8AE11}"/>
    <hyperlink ref="B43" r:id="rId10" xr:uid="{66DE69E9-0FFD-47A9-A96C-D6D67879FB30}"/>
    <hyperlink ref="B44" r:id="rId11" xr:uid="{312D5494-93EA-416B-8438-C21DD38F625E}"/>
    <hyperlink ref="B45" r:id="rId12" xr:uid="{5E2A17CE-A977-443A-B18A-C3D5E7F7A82C}"/>
    <hyperlink ref="B46" r:id="rId13" xr:uid="{3E53AA98-45AD-45A8-B66F-A2005913B32C}"/>
    <hyperlink ref="B52" r:id="rId14" xr:uid="{D8BAED91-A10A-4B2B-8C5F-CE21D1C33C9F}"/>
    <hyperlink ref="B53" r:id="rId15" xr:uid="{7DDBBD79-4131-4378-93E4-4EA1701AB48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221215-2f45-4429-820d-e8b9ba3db0c9">
      <Terms xmlns="http://schemas.microsoft.com/office/infopath/2007/PartnerControls"/>
    </lcf76f155ced4ddcb4097134ff3c332f>
    <_Flow_SignoffStatus xmlns="02221215-2f45-4429-820d-e8b9ba3db0c9" xsi:nil="true"/>
    <TaxCatchAll xmlns="0bf0776d-c538-4586-8a6d-39b3c43a1f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30DA093F6CDC41A648772F1059D740" ma:contentTypeVersion="22" ma:contentTypeDescription="Create a new document." ma:contentTypeScope="" ma:versionID="2607c1140fe2b1dd03588bc1756da63f">
  <xsd:schema xmlns:xsd="http://www.w3.org/2001/XMLSchema" xmlns:xs="http://www.w3.org/2001/XMLSchema" xmlns:p="http://schemas.microsoft.com/office/2006/metadata/properties" xmlns:ns2="02221215-2f45-4429-820d-e8b9ba3db0c9" xmlns:ns3="0bf0776d-c538-4586-8a6d-39b3c43a1f22" targetNamespace="http://schemas.microsoft.com/office/2006/metadata/properties" ma:root="true" ma:fieldsID="7bf5037e9784f55049a5a6a9a8686a99" ns2:_="" ns3:_="">
    <xsd:import namespace="02221215-2f45-4429-820d-e8b9ba3db0c9"/>
    <xsd:import namespace="0bf0776d-c538-4586-8a6d-39b3c43a1f2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221215-2f45-4429-820d-e8b9ba3db0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Flow_SignoffStatus" ma:index="25"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f0776d-c538-4586-8a6d-39b3c43a1f2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2d4cfe0e-3320-4b24-af16-668b7c3f06e3}" ma:internalName="TaxCatchAll" ma:showField="CatchAllData" ma:web="0bf0776d-c538-4586-8a6d-39b3c43a1f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C9B3E5-045E-4087-9BEC-D83B9410AF25}"/>
</file>

<file path=customXml/itemProps2.xml><?xml version="1.0" encoding="utf-8"?>
<ds:datastoreItem xmlns:ds="http://schemas.openxmlformats.org/officeDocument/2006/customXml" ds:itemID="{DB893407-5047-49D2-98DA-FE91796B4B55}"/>
</file>

<file path=customXml/itemProps3.xml><?xml version="1.0" encoding="utf-8"?>
<ds:datastoreItem xmlns:ds="http://schemas.openxmlformats.org/officeDocument/2006/customXml" ds:itemID="{29FECED8-B407-4327-BDC8-5D8771A86A78}"/>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Montales, Jhoanna</dc:creator>
  <cp:keywords/>
  <dc:description/>
  <cp:lastModifiedBy/>
  <cp:revision/>
  <dcterms:created xsi:type="dcterms:W3CDTF">2026-03-25T06:30:06Z</dcterms:created>
  <dcterms:modified xsi:type="dcterms:W3CDTF">2026-06-11T02:10:19Z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0x0101006D30DA093F6CDC41A648772F1059D740</vt:lpwstr>
  </property>
  <property fmtid="{D5CDD505-2E9C-101B-9397-08002B2CF9AE}" pid="3" name="MediaServiceImageTags">
    <vt:lpwstr/>
  </property>
</Properties>
</file>